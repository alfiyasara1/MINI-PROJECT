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ED8F37D4-6CEF-4894-B9E4-742D7C36BD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 Working Data" sheetId="1" r:id="rId1"/>
    <sheet name="Regional Revenue Analysis" sheetId="3" r:id="rId2"/>
    <sheet name="Product Category Revenue Analys" sheetId="4" r:id="rId3"/>
    <sheet name="Payment Method Revenue Analysis" sheetId="5" r:id="rId4"/>
    <sheet name="Project Notes" sheetId="2" r:id="rId5"/>
  </sheets>
  <calcPr calcId="191028"/>
  <pivotCaches>
    <pivotCache cacheId="7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A3" i="1"/>
  <c r="Z3" i="1"/>
  <c r="Y3" i="1"/>
  <c r="W3" i="1"/>
  <c r="U6" i="1"/>
  <c r="S3" i="1"/>
  <c r="R3" i="1"/>
  <c r="P6" i="1"/>
  <c r="N5" i="1"/>
  <c r="N9" i="1"/>
  <c r="N8" i="1"/>
  <c r="Z212" i="1"/>
  <c r="U5" i="1"/>
  <c r="U4" i="1"/>
  <c r="U3" i="1"/>
  <c r="P5" i="1"/>
  <c r="P4" i="1"/>
  <c r="P3" i="1"/>
  <c r="N4" i="1"/>
  <c r="N3" i="1"/>
</calcChain>
</file>

<file path=xl/sharedStrings.xml><?xml version="1.0" encoding="utf-8"?>
<sst xmlns="http://schemas.openxmlformats.org/spreadsheetml/2006/main" count="4066" uniqueCount="1054">
  <si>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</si>
  <si>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</si>
  <si>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</si>
  <si>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</si>
  <si>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</si>
  <si>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</si>
  <si>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</si>
  <si>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</si>
  <si>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</si>
  <si>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</si>
  <si>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</si>
  <si>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</si>
  <si>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1/1/2022</t>
  </si>
  <si>
    <t>Beauty</t>
  </si>
  <si>
    <t>South</t>
  </si>
  <si>
    <t>Wallet</t>
  </si>
  <si>
    <t>Pay meth Using COUNTIF</t>
  </si>
  <si>
    <t>Mode</t>
  </si>
  <si>
    <t>Region COUNTIF</t>
  </si>
  <si>
    <t>Discount Median</t>
  </si>
  <si>
    <t>Coustumer rating avg</t>
  </si>
  <si>
    <t>Prod cate</t>
  </si>
  <si>
    <t>Delivey days Median</t>
  </si>
  <si>
    <t>Unit price</t>
  </si>
  <si>
    <t>Quantity</t>
  </si>
  <si>
    <t>Revenue</t>
  </si>
  <si>
    <t>Order Date</t>
  </si>
  <si>
    <t>Clothing</t>
  </si>
  <si>
    <t>Card</t>
  </si>
  <si>
    <t>Cod</t>
  </si>
  <si>
    <t>East</t>
  </si>
  <si>
    <t>COD</t>
  </si>
  <si>
    <t>West</t>
  </si>
  <si>
    <t>1/4/2022</t>
  </si>
  <si>
    <t>Electronics</t>
  </si>
  <si>
    <t>Card ☑️</t>
  </si>
  <si>
    <t>North ☑️Mode</t>
  </si>
  <si>
    <t>1/5/2022</t>
  </si>
  <si>
    <t>☑️</t>
  </si>
  <si>
    <t>1/6/2022</t>
  </si>
  <si>
    <t>Checking missing values</t>
  </si>
  <si>
    <t>1/7/2022</t>
  </si>
  <si>
    <t>1/8/2022</t>
  </si>
  <si>
    <t>North</t>
  </si>
  <si>
    <t>1/9/2022</t>
  </si>
  <si>
    <t>1/10/2022</t>
  </si>
  <si>
    <t>1/11/2022</t>
  </si>
  <si>
    <t>1/12/2022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</si>
  <si>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</si>
  <si>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</si>
  <si>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</si>
  <si>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</si>
  <si>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</si>
  <si>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</si>
  <si>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</si>
  <si>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</si>
  <si>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</si>
  <si>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</si>
  <si>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</si>
  <si>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</si>
  <si>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</si>
  <si>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</si>
  <si>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</si>
  <si>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</si>
  <si>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</si>
  <si>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</si>
  <si>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</si>
  <si>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</si>
  <si>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</si>
  <si>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</si>
  <si>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</si>
  <si>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</si>
  <si>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</si>
  <si>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</si>
  <si>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</si>
  <si>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</si>
  <si>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</si>
  <si>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</si>
  <si>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</si>
  <si>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</si>
  <si>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</si>
  <si>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</si>
  <si>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</si>
  <si>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</si>
  <si>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</si>
  <si>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</si>
  <si>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</si>
  <si>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</si>
  <si>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</si>
  <si>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</si>
  <si>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</si>
  <si>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</si>
  <si>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</si>
  <si>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</si>
  <si>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</si>
  <si>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</si>
  <si>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</si>
  <si>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</si>
  <si>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</si>
  <si>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</si>
  <si>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</si>
  <si>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</si>
  <si>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</si>
  <si>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</si>
  <si>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</si>
  <si>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</si>
  <si>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</si>
  <si>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</si>
  <si>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</si>
  <si>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</si>
  <si>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</si>
  <si>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</si>
  <si>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</si>
  <si>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</si>
  <si>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</si>
  <si>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</si>
  <si>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</si>
  <si>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</si>
  <si>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</si>
  <si>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</si>
  <si>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</si>
  <si>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</si>
  <si>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</si>
  <si>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</si>
  <si>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</si>
  <si>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</si>
  <si>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</si>
  <si>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</si>
  <si>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</si>
  <si>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</si>
  <si>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</si>
  <si>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</si>
  <si>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</si>
  <si>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</si>
  <si>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</si>
  <si>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</si>
  <si>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</si>
  <si>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</si>
  <si>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</si>
  <si>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</si>
  <si>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</si>
  <si>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</si>
  <si>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</si>
  <si>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</si>
  <si>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</si>
  <si>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</si>
  <si>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</si>
  <si>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</si>
  <si>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</si>
  <si>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</si>
  <si>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</si>
  <si>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</si>
  <si>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</si>
  <si>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</si>
  <si>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</si>
  <si>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</si>
  <si>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</si>
  <si>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</si>
  <si>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</si>
  <si>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</si>
  <si>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</si>
  <si>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</si>
  <si>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</si>
  <si>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</si>
  <si>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</si>
  <si>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</si>
  <si>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</si>
  <si>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</si>
  <si>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</si>
  <si>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</si>
  <si>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</si>
  <si>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</si>
  <si>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</si>
  <si>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</si>
  <si>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</si>
  <si>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</si>
  <si>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</si>
  <si>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</si>
  <si>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</si>
  <si>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</si>
  <si>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</si>
  <si>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</si>
  <si>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</si>
  <si>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</si>
  <si>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</si>
  <si>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</si>
  <si>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</si>
  <si>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</si>
  <si>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</si>
  <si>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</si>
  <si>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</si>
  <si>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</si>
  <si>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</si>
  <si>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</si>
  <si>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</si>
  <si>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</si>
  <si>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</si>
  <si>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</si>
  <si>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</si>
  <si>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</si>
  <si>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</si>
  <si>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</si>
  <si>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</si>
  <si>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</si>
  <si>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</si>
  <si>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</si>
  <si>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</si>
  <si>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</si>
  <si>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</si>
  <si>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</si>
  <si>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</si>
  <si>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</si>
  <si>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</si>
  <si>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</si>
  <si>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</si>
  <si>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</si>
  <si>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</si>
  <si>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</si>
  <si>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</si>
  <si>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</si>
  <si>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</si>
  <si>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</si>
  <si>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</si>
  <si>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</si>
  <si>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</si>
  <si>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</si>
  <si>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</si>
  <si>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</si>
  <si>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</si>
  <si>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</si>
  <si>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</si>
  <si>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</si>
  <si>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</si>
  <si>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</si>
  <si>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</si>
  <si>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</si>
  <si>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</si>
  <si>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</si>
  <si>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</si>
  <si>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</si>
  <si>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</si>
  <si>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</si>
  <si>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</si>
  <si>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</si>
  <si>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</si>
  <si>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</si>
  <si>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</si>
  <si>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</si>
  <si>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</si>
  <si>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</si>
  <si>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</si>
  <si>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</si>
  <si>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</si>
  <si>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</si>
  <si>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</si>
  <si>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</si>
  <si>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</si>
  <si>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</si>
  <si>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</si>
  <si>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</si>
  <si>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</si>
  <si>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</si>
  <si>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</si>
  <si>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</si>
  <si>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</si>
  <si>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</si>
  <si>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</si>
  <si>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</si>
  <si>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</si>
  <si>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</si>
  <si>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</si>
  <si>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</si>
  <si>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</si>
  <si>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</si>
  <si>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</si>
  <si>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</si>
  <si>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</si>
  <si>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</si>
  <si>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</si>
  <si>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</si>
  <si>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</si>
  <si>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</si>
  <si>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</si>
  <si>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</si>
  <si>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</si>
  <si>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</si>
  <si>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</si>
  <si>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</si>
  <si>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</si>
  <si>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</si>
  <si>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</si>
  <si>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</si>
  <si>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</si>
  <si>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</si>
  <si>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</si>
  <si>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</si>
  <si>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</si>
  <si>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</si>
  <si>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</si>
  <si>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</si>
  <si>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</si>
  <si>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</si>
  <si>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</si>
  <si>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</si>
  <si>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</si>
  <si>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</si>
  <si>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</si>
  <si>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</si>
  <si>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</si>
  <si>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</si>
  <si>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</si>
  <si>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</si>
  <si>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</si>
  <si>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</si>
  <si>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</si>
  <si>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</si>
  <si>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</si>
  <si>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</si>
  <si>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</si>
  <si>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</si>
  <si>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</si>
  <si>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</si>
  <si>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</si>
  <si>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</si>
  <si>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</si>
  <si>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</si>
  <si>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</si>
  <si>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</si>
  <si>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</si>
  <si>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</si>
  <si>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</si>
  <si>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</si>
  <si>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</si>
  <si>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</si>
  <si>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</si>
  <si>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</si>
  <si>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</si>
  <si>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</si>
  <si>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</si>
  <si>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</si>
  <si>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</si>
  <si>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</si>
  <si>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</si>
  <si>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</si>
  <si>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</si>
  <si>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</si>
  <si>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</si>
  <si>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</si>
  <si>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</si>
  <si>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</si>
  <si>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</si>
  <si>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</si>
  <si>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</si>
  <si>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</si>
  <si>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</si>
  <si>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</si>
  <si>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</si>
  <si>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</si>
  <si>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</si>
  <si>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</si>
  <si>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</si>
  <si>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</si>
  <si>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</si>
  <si>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</si>
  <si>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</si>
  <si>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</si>
  <si>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</si>
  <si>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</si>
  <si>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</si>
  <si>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</si>
  <si>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</si>
  <si>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</si>
  <si>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</si>
  <si>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</si>
  <si>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</si>
  <si>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</si>
  <si>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</si>
  <si>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</si>
  <si>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</si>
  <si>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</si>
  <si>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</si>
  <si>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</si>
  <si>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</si>
  <si>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</si>
  <si>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</si>
  <si>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</si>
  <si>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</si>
  <si>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</si>
  <si>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</si>
  <si>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</si>
  <si>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</si>
  <si>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</si>
  <si>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</si>
  <si>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</si>
  <si>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</si>
  <si>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</si>
  <si>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</si>
  <si>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</si>
  <si>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</si>
  <si>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</si>
  <si>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</si>
  <si>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</si>
  <si>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</si>
  <si>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</si>
  <si>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</si>
  <si>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</si>
  <si>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</si>
  <si>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</si>
  <si>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</si>
  <si>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</si>
  <si>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</si>
  <si>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</si>
  <si>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</si>
  <si>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</si>
  <si>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</si>
  <si>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</si>
  <si>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</si>
  <si>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</si>
  <si>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</si>
  <si>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</si>
  <si>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</si>
  <si>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</si>
  <si>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</si>
  <si>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</si>
  <si>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</si>
  <si>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</si>
  <si>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</si>
  <si>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</si>
  <si>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</si>
  <si>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</si>
  <si>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</si>
  <si>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</si>
  <si>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</si>
  <si>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</si>
  <si>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</si>
  <si>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</si>
  <si>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</si>
  <si>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</si>
  <si>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</si>
  <si>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</si>
  <si>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</si>
  <si>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</si>
  <si>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</si>
  <si>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</si>
  <si>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</si>
  <si>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</si>
  <si>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</si>
  <si>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</si>
  <si>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</si>
  <si>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</si>
  <si>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</si>
  <si>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</si>
  <si>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</si>
  <si>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</si>
  <si>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</si>
  <si>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</si>
  <si>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</si>
  <si>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</si>
  <si>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</si>
  <si>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</si>
  <si>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</si>
  <si>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</si>
  <si>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</si>
  <si>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</si>
  <si>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</si>
  <si>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</si>
  <si>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</si>
  <si>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</si>
  <si>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</si>
  <si>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</si>
  <si>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</si>
  <si>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</si>
  <si>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</si>
  <si>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</si>
  <si>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</si>
  <si>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</si>
  <si>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</si>
  <si>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</si>
  <si>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</si>
  <si>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</si>
  <si>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</si>
  <si>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</si>
  <si>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</si>
  <si>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</si>
  <si>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</si>
  <si>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</si>
  <si>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</si>
  <si>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</si>
  <si>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</si>
  <si>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</si>
  <si>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</si>
  <si>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</si>
  <si>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</si>
  <si>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</si>
  <si>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</si>
  <si>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</si>
  <si>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</si>
  <si>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</si>
  <si>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</si>
  <si>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</si>
  <si>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</si>
  <si>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</si>
  <si>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</si>
  <si>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</si>
  <si>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</si>
  <si>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</si>
  <si>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</si>
  <si>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</si>
  <si>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</si>
  <si>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</si>
  <si>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</si>
  <si>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</si>
  <si>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</si>
  <si>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</si>
  <si>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</si>
  <si>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</si>
  <si>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</si>
  <si>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</si>
  <si>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</si>
  <si>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</si>
  <si>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</si>
  <si>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</si>
  <si>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</si>
  <si>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</si>
  <si>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</si>
  <si>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</si>
  <si>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</si>
  <si>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</si>
  <si>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</si>
  <si>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</si>
  <si>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</si>
  <si>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</si>
  <si>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</si>
  <si>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</si>
  <si>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</si>
  <si>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</si>
  <si>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</si>
  <si>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</si>
  <si>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</si>
  <si>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</si>
  <si>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</si>
  <si>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</si>
  <si>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</si>
  <si>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</si>
  <si>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</si>
  <si>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</si>
  <si>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</si>
  <si>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</si>
  <si>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</si>
  <si>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</si>
  <si>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</si>
  <si>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</si>
  <si>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</si>
  <si>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</si>
  <si>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</si>
  <si>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</si>
  <si>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</si>
  <si>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</si>
  <si>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</si>
  <si>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</si>
  <si>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</si>
  <si>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</si>
  <si>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</si>
  <si>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</si>
  <si>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</si>
  <si>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</si>
  <si>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</si>
  <si>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</si>
  <si>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</si>
  <si>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</si>
  <si>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</si>
  <si>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</si>
  <si>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</si>
  <si>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</si>
  <si>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</si>
  <si>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</si>
  <si>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</si>
  <si>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</si>
  <si>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</si>
  <si>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</si>
  <si>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</si>
  <si>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</si>
  <si>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</si>
  <si>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</si>
  <si>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</si>
  <si>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</si>
  <si>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</si>
  <si>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</si>
  <si>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</si>
  <si>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</si>
  <si>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</si>
  <si>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</si>
  <si>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</si>
  <si>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</si>
  <si>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</si>
  <si>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</si>
  <si>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</si>
  <si>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</si>
  <si>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</si>
  <si>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</si>
  <si>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</si>
  <si>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</si>
  <si>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</si>
  <si>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</si>
  <si>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</si>
  <si>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</si>
  <si>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</si>
  <si>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</si>
  <si>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</si>
  <si>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</si>
  <si>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</si>
  <si>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</si>
  <si>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</si>
  <si>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</si>
  <si>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</si>
  <si>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</si>
  <si>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</si>
  <si>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</si>
  <si>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</si>
  <si>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</si>
  <si>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</si>
  <si>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</si>
  <si>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</si>
  <si>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</si>
  <si>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</si>
  <si>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</si>
  <si>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</si>
  <si>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</si>
  <si>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</si>
  <si>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</si>
  <si>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</si>
  <si>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</si>
  <si>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</si>
  <si>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</si>
  <si>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</si>
  <si>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</si>
  <si>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</si>
  <si>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</si>
  <si>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</si>
  <si>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</si>
  <si>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</si>
  <si>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</si>
  <si>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</si>
  <si>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</si>
  <si>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</si>
  <si>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</si>
  <si>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</si>
  <si>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</si>
  <si>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</si>
  <si>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</si>
  <si>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</si>
  <si>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</si>
  <si>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</si>
  <si>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</si>
  <si>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</si>
  <si>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</si>
  <si>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</si>
  <si>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</si>
  <si>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</si>
  <si>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</si>
  <si>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</si>
  <si>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</si>
  <si>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</si>
  <si>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</si>
  <si>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</si>
  <si>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</si>
  <si>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</si>
  <si>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</si>
  <si>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</si>
  <si>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</si>
  <si>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</si>
  <si>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</si>
  <si>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</si>
  <si>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</si>
  <si>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</si>
  <si>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</si>
  <si>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</si>
  <si>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</si>
  <si>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</si>
  <si>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</si>
  <si>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</si>
  <si>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</si>
  <si>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</si>
  <si>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</si>
  <si>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</si>
  <si>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</si>
  <si>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</si>
  <si>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</si>
  <si>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</si>
  <si>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</si>
  <si>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</si>
  <si>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</si>
  <si>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</si>
  <si>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</si>
  <si>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</si>
  <si>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</si>
  <si>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</si>
  <si>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</si>
  <si>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</si>
  <si>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</si>
  <si>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</si>
  <si>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</si>
  <si>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</si>
  <si>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</si>
  <si>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</si>
  <si>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</si>
  <si>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</si>
  <si>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</si>
  <si>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</si>
  <si>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</si>
  <si>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</si>
  <si>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</si>
  <si>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</si>
  <si>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</si>
  <si>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</si>
  <si>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</si>
  <si>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</si>
  <si>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</si>
  <si>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</si>
  <si>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</si>
  <si>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</si>
  <si>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</si>
  <si>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</si>
  <si>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</si>
  <si>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</si>
  <si>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</si>
  <si>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</si>
  <si>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</si>
  <si>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</si>
  <si>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</si>
  <si>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</si>
  <si>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</si>
  <si>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</si>
  <si>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</si>
  <si>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</si>
  <si>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</si>
  <si>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</si>
  <si>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</si>
  <si>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</si>
  <si>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</si>
  <si>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</si>
  <si>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</si>
  <si>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</si>
  <si>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</si>
  <si>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</si>
  <si>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</si>
  <si>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</si>
  <si>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</si>
  <si>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</si>
  <si>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</si>
  <si>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</si>
  <si>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</si>
  <si>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</si>
  <si>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</si>
  <si>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</si>
  <si>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</si>
  <si>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</si>
  <si>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</si>
  <si>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</si>
  <si>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</si>
  <si>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</si>
  <si>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</si>
  <si>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</si>
  <si>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</si>
  <si>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</si>
  <si>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</si>
  <si>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</si>
  <si>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</si>
  <si>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</si>
  <si>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</si>
  <si>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</si>
  <si>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</si>
  <si>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</si>
  <si>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</si>
  <si>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</si>
  <si>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</si>
  <si>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</si>
  <si>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</si>
  <si>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</si>
  <si>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</si>
  <si>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</si>
  <si>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</si>
  <si>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</si>
  <si>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</si>
  <si>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</si>
  <si>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</si>
  <si>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</si>
  <si>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</si>
  <si>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</si>
  <si>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</si>
  <si>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</si>
  <si>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</si>
  <si>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</si>
  <si>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</si>
  <si>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</si>
  <si>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</si>
  <si>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</si>
  <si>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</si>
  <si>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</si>
  <si>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</si>
  <si>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</si>
  <si>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</si>
  <si>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</si>
  <si>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</si>
  <si>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</si>
  <si>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</si>
  <si>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</si>
  <si>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</si>
  <si>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</si>
  <si>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</si>
  <si>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</si>
  <si>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</si>
  <si>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</si>
  <si>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</si>
  <si>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</si>
  <si>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</si>
  <si>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</si>
  <si>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</si>
  <si>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</si>
  <si>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</si>
  <si>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</si>
  <si>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</si>
  <si>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</si>
  <si>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</si>
  <si>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</si>
  <si>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</si>
  <si>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</si>
  <si>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</si>
  <si>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</si>
  <si>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</si>
  <si>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</si>
  <si>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</si>
  <si>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</si>
  <si>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</si>
  <si>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</si>
  <si>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</si>
  <si>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</si>
  <si>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</si>
  <si>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</si>
  <si>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</si>
  <si>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</si>
  <si>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</si>
  <si>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</si>
  <si>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</si>
  <si>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</si>
  <si>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</si>
  <si>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</si>
  <si>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</si>
  <si>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</si>
  <si>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</si>
  <si>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</si>
  <si>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</si>
  <si>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</si>
  <si>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</si>
  <si>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</si>
  <si>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</si>
  <si>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</si>
  <si>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</si>
  <si>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</si>
  <si>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</si>
  <si>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</si>
  <si>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</si>
  <si>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</si>
  <si>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</si>
  <si>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</si>
  <si>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</si>
  <si>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</si>
  <si>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</si>
  <si>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</si>
  <si>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</si>
  <si>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</si>
  <si>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</si>
  <si>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</si>
  <si>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</si>
  <si>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</si>
  <si>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</si>
  <si>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</si>
  <si>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</si>
  <si>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</si>
  <si>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</si>
  <si>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</si>
  <si>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</si>
  <si>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</si>
  <si>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</si>
  <si>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</si>
  <si>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</si>
  <si>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</si>
  <si>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</si>
  <si>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</si>
  <si>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</si>
  <si>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</si>
  <si>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</si>
  <si>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</si>
  <si>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</si>
  <si>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</si>
  <si>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</si>
  <si>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</si>
  <si>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</si>
  <si>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</si>
  <si>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</si>
  <si>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</si>
  <si>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</si>
  <si>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</si>
  <si>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</si>
  <si>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</si>
  <si>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</si>
  <si>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</si>
  <si>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</si>
  <si>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</si>
  <si>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</si>
  <si>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</si>
  <si>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</si>
  <si>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</si>
  <si>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</si>
  <si>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</si>
  <si>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</si>
  <si>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</si>
  <si>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</si>
  <si>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</si>
  <si>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</si>
  <si>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</si>
  <si>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</si>
  <si>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</si>
  <si>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</si>
  <si>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</si>
  <si>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</si>
  <si>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</si>
  <si>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</si>
  <si>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</si>
  <si>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</si>
  <si>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</si>
  <si>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</si>
  <si>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</si>
  <si>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</si>
  <si>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</si>
  <si>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</si>
  <si>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</si>
  <si>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</si>
  <si>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</si>
  <si>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</si>
  <si>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</si>
  <si>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</si>
  <si>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</si>
  <si>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</si>
  <si>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</si>
  <si>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</si>
  <si>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</si>
  <si>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</si>
  <si>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</si>
  <si>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</si>
  <si>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</si>
  <si>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</si>
  <si>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</si>
  <si>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</si>
  <si>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</si>
  <si>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</si>
  <si>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</si>
  <si>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</si>
  <si>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</si>
  <si>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</si>
  <si>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</si>
  <si>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</si>
  <si>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</si>
  <si>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</si>
  <si>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</si>
  <si>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</si>
  <si>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</si>
  <si>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</si>
  <si>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</si>
  <si>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</si>
  <si>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</si>
  <si>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</si>
  <si>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</si>
  <si>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</si>
  <si>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</si>
  <si>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</si>
  <si>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</si>
  <si>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</si>
  <si>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</si>
  <si>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</si>
  <si>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</si>
  <si>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</si>
  <si>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</si>
  <si>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</si>
  <si>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</si>
  <si>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</si>
  <si>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</si>
  <si>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</si>
  <si>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</si>
  <si>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</si>
  <si>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</si>
  <si>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</si>
  <si>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</si>
  <si>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</si>
  <si>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</si>
  <si>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</si>
  <si>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</si>
  <si>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</si>
  <si>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</si>
  <si>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</si>
  <si>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</si>
  <si>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</si>
  <si>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</si>
  <si>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</si>
  <si>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</si>
  <si>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</si>
  <si>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</si>
  <si>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</si>
  <si>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</si>
  <si>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</si>
  <si>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</si>
  <si>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</si>
  <si>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</si>
  <si>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</si>
  <si>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</si>
  <si>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</si>
  <si>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</si>
  <si>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</si>
  <si>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</si>
  <si>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</si>
  <si>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</si>
  <si>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</si>
  <si>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</si>
  <si>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</si>
  <si>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</si>
  <si>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</si>
  <si>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</si>
  <si>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</si>
  <si>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</si>
  <si>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</si>
  <si>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</si>
  <si>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</si>
  <si>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</si>
  <si>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</si>
  <si>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</si>
  <si>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</si>
  <si>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Regional Revenue Analysis</t>
  </si>
  <si>
    <t>Sum of revenue</t>
  </si>
  <si>
    <t>Grand Total</t>
  </si>
  <si>
    <t>Product Category Revenue Analysis</t>
  </si>
  <si>
    <t>Payment Method Revenue Analysis</t>
  </si>
  <si>
    <t>Project Item</t>
  </si>
  <si>
    <t>Details</t>
  </si>
  <si>
    <t>Original dataset ecommerce_sales_analytics_5000(1).csv</t>
  </si>
  <si>
    <t>Original records used</t>
  </si>
  <si>
    <t>1,000</t>
  </si>
  <si>
    <t>Working records before cleaning</t>
  </si>
  <si>
    <t>1,012</t>
  </si>
  <si>
    <t>Columns</t>
  </si>
  <si>
    <t>12</t>
  </si>
  <si>
    <t>Duplicate rows intentionally added</t>
  </si>
  <si>
    <t>Missing cells intentionally added</t>
  </si>
  <si>
    <t>10</t>
  </si>
  <si>
    <t>Next step Clean duplicates and handle missing values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</si>
</sst>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3" fillId="0" borderId="0" xfId="0" applyFont="1" applyAlignment="1">
      <alignment readingOrder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[Ecommerce_Mini_Project.xlsx]Regional Revenue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Revenue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Revenue Analysis'!$B$4:$B$8</c:f>
              <c:numCache>
                <c:formatCode>General</c:formatCode>
                <c:ptCount val="4"/>
                <c:pt idx="0">
                  <c:v>259513.24000000022</c:v>
                </c:pt>
                <c:pt idx="1">
                  <c:v>274936.73999999993</c:v>
                </c:pt>
                <c:pt idx="2">
                  <c:v>228497.62000000011</c:v>
                </c:pt>
                <c:pt idx="3">
                  <c:v>248231.93999999992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0-42D1-9DC1-871FE661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968071"/>
        <c:axId val="1090969607"/>
      </c:barChart>
      <c:catAx>
        <c:axId val="1090968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69607"/>
        <c:crosses val="autoZero"/>
        <c:auto val="1"/>
        <c:lblAlgn val="ctr"/>
        <c:lblOffset val="100"/>
        <c:noMultiLvlLbl val="0"/>
      </c:catAx>
      <c:valAx>
        <c:axId val="109096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6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[Ecommerce_Mini_Project.xlsx]Product Category Revenue Analys!PivotTable2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Category Revenue Analys'!$B$3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 Revenue Analys'!$A$4:$A$8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'Product Category Revenue Analys'!$B$4:$B$8</c:f>
              <c:numCache>
                <c:formatCode>General</c:formatCode>
                <c:ptCount val="4"/>
                <c:pt idx="0">
                  <c:v>152524.54000000004</c:v>
                </c:pt>
                <c:pt idx="1">
                  <c:v>274814.91999999993</c:v>
                </c:pt>
                <c:pt idx="2">
                  <c:v>356621.06999999966</c:v>
                </c:pt>
                <c:pt idx="3">
                  <c:v>227219.00999999998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A-482F-B6E2-4B3922655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000711"/>
        <c:axId val="1121087495"/>
      </c:barChart>
      <c:catAx>
        <c:axId val="126100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87495"/>
        <c:crosses val="autoZero"/>
        <c:auto val="1"/>
        <c:lblAlgn val="ctr"/>
        <c:lblOffset val="100"/>
        <c:noMultiLvlLbl val="0"/>
      </c:catAx>
      <c:valAx>
        <c:axId val="112108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0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[Ecommerce_Mini_Project.xlsx]Payment Method Revenue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Revenue Analysis'!$A$4:$A$7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'Payment Method Revenue Analysis'!$B$4:$B$7</c:f>
              <c:numCache>
                <c:formatCode>General</c:formatCode>
                <c:ptCount val="3"/>
                <c:pt idx="0">
                  <c:v>486683.25999999995</c:v>
                </c:pt>
                <c:pt idx="1">
                  <c:v>340440.05000000005</c:v>
                </c:pt>
                <c:pt idx="2">
                  <c:v>184056.23000000007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7-4396-8ADF-B6B935EF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026055"/>
        <c:axId val="965153287"/>
      </c:barChart>
      <c:catAx>
        <c:axId val="777026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153287"/>
        <c:crosses val="autoZero"/>
        <c:auto val="1"/>
        <c:lblAlgn val="ctr"/>
        <c:lblOffset val="100"/>
        <c:noMultiLvlLbl val="0"/>
      </c:catAx>
      <c:valAx>
        <c:axId val="96515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2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133350</xdr:rowOff>
    </xdr:from>
    <xdr:to>
      <xdr:col>11</xdr:col>
      <xdr:colOff>142875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569E4-1B8D-CF17-C842-ECA879D21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257175</xdr:rowOff>
    </xdr:from>
    <xdr:to>
      <xdr:col>11</xdr:col>
      <xdr:colOff>57150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FEAFB-0AFC-39F9-D3BF-7C4B67D22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19050</xdr:rowOff>
    </xdr:from>
    <xdr:to>
      <xdr:col>10</xdr:col>
      <xdr:colOff>390525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5B46D-9275-DE41-89A1-9AFA0D434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471213657409" createdVersion="8" refreshedVersion="8" minRefreshableVersion="3" recordCount="1000" xr:uid="{D13F3F50-6291-4CC1-A491-A7F72763D4F6}">
  <cacheSource type="worksheet">
    <worksheetSource name="Table1"/>
  </cacheSource>
  <cacheFields count="12">
    <cacheField name="order_id" numFmtId="0">
      <sharedItems containsSemiMixedTypes="0" containsString="0" containsNumber="1" containsInteger="1" minValue="10001" maxValue="11000"/>
    </cacheField>
    <cacheField name="order_date" numFmtId="0">
      <sharedItems containsDate="1" containsMixedTypes="1" minDate="2022-01-02T00:00:00" maxDate="2022-10-29T00:00:00"/>
    </cacheField>
    <cacheField name="customer_id" numFmtId="0">
      <sharedItems containsSemiMixedTypes="0" containsString="0" containsNumber="1" containsInteger="1" minValue="1000" maxValue="1998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78" maxValue="599.32000000000005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2.83" maxValue="4119.3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1"/>
    <s v="1/1/2022"/>
    <n v="1102"/>
    <x v="0"/>
    <x v="0"/>
    <n v="7"/>
    <n v="373.65"/>
    <n v="0.28000000000000003"/>
    <x v="0"/>
    <n v="10"/>
    <n v="4.7"/>
    <n v="1883.2"/>
  </r>
  <r>
    <n v="10002"/>
    <d v="2022-01-02T00:00:00"/>
    <n v="1435"/>
    <x v="1"/>
    <x v="0"/>
    <n v="7"/>
    <n v="47.74"/>
    <n v="0.09"/>
    <x v="1"/>
    <n v="6"/>
    <n v="3.9"/>
    <n v="304.10000000000002"/>
  </r>
  <r>
    <n v="10003"/>
    <d v="2022-01-03T00:00:00"/>
    <n v="1860"/>
    <x v="0"/>
    <x v="1"/>
    <n v="3"/>
    <n v="311.27999999999997"/>
    <n v="0.31"/>
    <x v="2"/>
    <n v="6"/>
    <n v="2.5"/>
    <n v="644.35"/>
  </r>
  <r>
    <n v="10004"/>
    <s v="1/4/2022"/>
    <n v="1270"/>
    <x v="2"/>
    <x v="2"/>
    <n v="5"/>
    <n v="524.47"/>
    <n v="0.02"/>
    <x v="0"/>
    <n v="6"/>
    <n v="1.6"/>
    <n v="2569.9"/>
  </r>
  <r>
    <n v="10005"/>
    <s v="1/5/2022"/>
    <n v="1106"/>
    <x v="1"/>
    <x v="2"/>
    <n v="5"/>
    <n v="139.87"/>
    <n v="0.33"/>
    <x v="0"/>
    <n v="4"/>
    <n v="4.9000000000000004"/>
    <n v="468.56"/>
  </r>
  <r>
    <n v="10006"/>
    <s v="1/6/2022"/>
    <n v="1071"/>
    <x v="2"/>
    <x v="2"/>
    <n v="2"/>
    <n v="264.44"/>
    <n v="0.2"/>
    <x v="1"/>
    <n v="3"/>
    <n v="3.3"/>
    <n v="423.1"/>
  </r>
  <r>
    <n v="10007"/>
    <s v="1/7/2022"/>
    <n v="1700"/>
    <x v="1"/>
    <x v="0"/>
    <n v="6"/>
    <n v="564.6"/>
    <n v="0.23"/>
    <x v="1"/>
    <n v="1"/>
    <n v="1.8"/>
    <n v="2608.4499999999998"/>
  </r>
  <r>
    <n v="10008"/>
    <s v="1/8/2022"/>
    <n v="1020"/>
    <x v="0"/>
    <x v="3"/>
    <n v="6"/>
    <n v="265.70999999999998"/>
    <n v="0.13"/>
    <x v="1"/>
    <n v="2"/>
    <n v="3.7"/>
    <n v="1387.01"/>
  </r>
  <r>
    <n v="10009"/>
    <s v="1/9/2022"/>
    <n v="1614"/>
    <x v="1"/>
    <x v="0"/>
    <n v="6"/>
    <n v="224.65"/>
    <n v="0.27"/>
    <x v="1"/>
    <n v="2"/>
    <n v="1.4"/>
    <n v="983.97"/>
  </r>
  <r>
    <n v="10010"/>
    <s v="1/10/2022"/>
    <n v="1121"/>
    <x v="1"/>
    <x v="2"/>
    <n v="4"/>
    <n v="272.70999999999998"/>
    <n v="0.06"/>
    <x v="1"/>
    <n v="10"/>
    <n v="4.5"/>
    <n v="1025.3900000000001"/>
  </r>
  <r>
    <n v="10011"/>
    <s v="1/11/2022"/>
    <n v="1466"/>
    <x v="1"/>
    <x v="2"/>
    <n v="6"/>
    <n v="318.88"/>
    <n v="0.02"/>
    <x v="2"/>
    <n v="7"/>
    <n v="1.4"/>
    <n v="1875.01"/>
  </r>
  <r>
    <n v="10012"/>
    <s v="1/12/2022"/>
    <n v="1214"/>
    <x v="2"/>
    <x v="2"/>
    <n v="3"/>
    <n v="384.71"/>
    <n v="0.14000000000000001"/>
    <x v="2"/>
    <n v="11"/>
    <n v="1.9"/>
    <n v="992.55"/>
  </r>
  <r>
    <n v="10013"/>
    <s v="1/13/2022"/>
    <n v="1330"/>
    <x v="0"/>
    <x v="0"/>
    <n v="7"/>
    <n v="483.41"/>
    <n v="0.3"/>
    <x v="2"/>
    <n v="6"/>
    <n v="1.4"/>
    <n v="2368.71"/>
  </r>
  <r>
    <n v="10014"/>
    <s v="1/14/2022"/>
    <n v="1458"/>
    <x v="1"/>
    <x v="2"/>
    <n v="7"/>
    <n v="279.48"/>
    <n v="0.26"/>
    <x v="2"/>
    <n v="8"/>
    <n v="1.4"/>
    <n v="1447.71"/>
  </r>
  <r>
    <n v="10015"/>
    <s v="1/15/2022"/>
    <n v="1087"/>
    <x v="1"/>
    <x v="1"/>
    <n v="4"/>
    <n v="493.23"/>
    <n v="0.18"/>
    <x v="1"/>
    <n v="9"/>
    <n v="3.1"/>
    <n v="1617.79"/>
  </r>
  <r>
    <n v="10016"/>
    <s v="1/16/2022"/>
    <n v="1372"/>
    <x v="1"/>
    <x v="2"/>
    <n v="2"/>
    <n v="327.23"/>
    <n v="0.2"/>
    <x v="0"/>
    <n v="5"/>
    <n v="3.7"/>
    <n v="523.57000000000005"/>
  </r>
  <r>
    <n v="10017"/>
    <s v="1/17/2022"/>
    <n v="1099"/>
    <x v="1"/>
    <x v="3"/>
    <n v="3"/>
    <n v="213.01"/>
    <n v="0.05"/>
    <x v="0"/>
    <n v="11"/>
    <n v="4.2"/>
    <n v="607.08000000000004"/>
  </r>
  <r>
    <n v="10018"/>
    <s v="1/18/2022"/>
    <n v="1871"/>
    <x v="2"/>
    <x v="1"/>
    <n v="7"/>
    <n v="399.9"/>
    <n v="0.28999999999999998"/>
    <x v="2"/>
    <n v="3"/>
    <n v="3.8"/>
    <n v="1987.5"/>
  </r>
  <r>
    <n v="10019"/>
    <s v="1/19/2022"/>
    <n v="1663"/>
    <x v="3"/>
    <x v="2"/>
    <n v="3"/>
    <n v="434.87"/>
    <n v="0.28000000000000003"/>
    <x v="0"/>
    <n v="4"/>
    <n v="2.5"/>
    <n v="939.32"/>
  </r>
  <r>
    <n v="10020"/>
    <s v="1/20/2022"/>
    <n v="1130"/>
    <x v="2"/>
    <x v="1"/>
    <n v="7"/>
    <n v="341.46"/>
    <n v="0.23"/>
    <x v="1"/>
    <n v="11"/>
    <n v="3.2"/>
    <n v="1840.47"/>
  </r>
  <r>
    <n v="10021"/>
    <s v="1/21/2022"/>
    <n v="1661"/>
    <x v="3"/>
    <x v="2"/>
    <n v="1"/>
    <n v="48.12"/>
    <n v="0.16"/>
    <x v="1"/>
    <n v="8"/>
    <n v="4.7"/>
    <n v="40.42"/>
  </r>
  <r>
    <n v="10022"/>
    <s v="1/22/2022"/>
    <n v="1308"/>
    <x v="3"/>
    <x v="3"/>
    <n v="2"/>
    <n v="114.38"/>
    <n v="0.34"/>
    <x v="1"/>
    <n v="3"/>
    <n v="2.6"/>
    <n v="150.97999999999999"/>
  </r>
  <r>
    <n v="10023"/>
    <s v="1/23/2022"/>
    <n v="1769"/>
    <x v="3"/>
    <x v="2"/>
    <n v="2"/>
    <n v="181.9"/>
    <n v="0.31"/>
    <x v="1"/>
    <n v="2"/>
    <n v="2"/>
    <n v="251.02"/>
  </r>
  <r>
    <n v="10024"/>
    <s v="1/24/2022"/>
    <n v="1343"/>
    <x v="1"/>
    <x v="1"/>
    <n v="1"/>
    <n v="180.34"/>
    <n v="0.23"/>
    <x v="1"/>
    <n v="7"/>
    <n v="3.1"/>
    <n v="138.86000000000001"/>
  </r>
  <r>
    <n v="10025"/>
    <s v="1/25/2022"/>
    <n v="1491"/>
    <x v="1"/>
    <x v="3"/>
    <n v="4"/>
    <n v="408.95"/>
    <n v="0.13"/>
    <x v="2"/>
    <n v="4"/>
    <n v="2.2000000000000002"/>
    <n v="1423.15"/>
  </r>
  <r>
    <n v="10026"/>
    <s v="1/26/2022"/>
    <n v="1413"/>
    <x v="2"/>
    <x v="0"/>
    <n v="7"/>
    <n v="25.73"/>
    <n v="0.22"/>
    <x v="1"/>
    <n v="8"/>
    <n v="2"/>
    <n v="140.49"/>
  </r>
  <r>
    <n v="10027"/>
    <s v="1/27/2022"/>
    <n v="1805"/>
    <x v="3"/>
    <x v="3"/>
    <n v="7"/>
    <n v="457.07"/>
    <n v="0.2"/>
    <x v="2"/>
    <n v="1"/>
    <n v="4.0999999999999996"/>
    <n v="2559.59"/>
  </r>
  <r>
    <n v="10028"/>
    <s v="1/28/2022"/>
    <n v="1385"/>
    <x v="2"/>
    <x v="3"/>
    <n v="7"/>
    <n v="170.23"/>
    <n v="0.14000000000000001"/>
    <x v="1"/>
    <n v="8"/>
    <n v="4.5999999999999996"/>
    <n v="1024.78"/>
  </r>
  <r>
    <n v="10029"/>
    <s v="1/29/2022"/>
    <n v="1191"/>
    <x v="1"/>
    <x v="3"/>
    <n v="6"/>
    <n v="196.36"/>
    <n v="0.11"/>
    <x v="0"/>
    <n v="5"/>
    <n v="3"/>
    <n v="1048.56"/>
  </r>
  <r>
    <n v="10030"/>
    <s v="1/30/2022"/>
    <n v="1955"/>
    <x v="2"/>
    <x v="1"/>
    <n v="6"/>
    <n v="323.83"/>
    <n v="0.14000000000000001"/>
    <x v="2"/>
    <n v="2"/>
    <n v="4.0999999999999996"/>
    <n v="1670.96"/>
  </r>
  <r>
    <n v="10031"/>
    <s v="1/31/2022"/>
    <n v="1276"/>
    <x v="2"/>
    <x v="3"/>
    <n v="6"/>
    <n v="141.32"/>
    <n v="0.2"/>
    <x v="1"/>
    <n v="1"/>
    <n v="1.7"/>
    <n v="678.34"/>
  </r>
  <r>
    <n v="10032"/>
    <s v="2/1/2022"/>
    <n v="1160"/>
    <x v="1"/>
    <x v="2"/>
    <n v="6"/>
    <n v="532.41999999999996"/>
    <n v="0.15"/>
    <x v="1"/>
    <n v="6"/>
    <n v="3.2"/>
    <n v="2715.34"/>
  </r>
  <r>
    <n v="10033"/>
    <s v="2/2/2022"/>
    <n v="1459"/>
    <x v="2"/>
    <x v="3"/>
    <n v="6"/>
    <n v="64.94"/>
    <n v="0.09"/>
    <x v="0"/>
    <n v="9"/>
    <n v="3.5"/>
    <n v="354.57"/>
  </r>
  <r>
    <n v="10034"/>
    <s v="2/3/2022"/>
    <n v="1313"/>
    <x v="3"/>
    <x v="3"/>
    <n v="1"/>
    <n v="274.95999999999998"/>
    <n v="0.27"/>
    <x v="1"/>
    <n v="9"/>
    <n v="2.9"/>
    <n v="200.72"/>
  </r>
  <r>
    <n v="10035"/>
    <s v="2/4/2022"/>
    <n v="1021"/>
    <x v="2"/>
    <x v="2"/>
    <n v="2"/>
    <n v="511.91"/>
    <n v="0.19"/>
    <x v="2"/>
    <n v="9"/>
    <n v="1.5"/>
    <n v="829.29"/>
  </r>
  <r>
    <n v="10036"/>
    <s v="2/5/2022"/>
    <n v="1252"/>
    <x v="2"/>
    <x v="2"/>
    <n v="4"/>
    <n v="375.27"/>
    <n v="0.02"/>
    <x v="2"/>
    <n v="11"/>
    <n v="3.9"/>
    <n v="1471.06"/>
  </r>
  <r>
    <n v="10037"/>
    <s v="2/6/2022"/>
    <n v="1747"/>
    <x v="1"/>
    <x v="0"/>
    <n v="3"/>
    <n v="186.01"/>
    <n v="0.13"/>
    <x v="1"/>
    <n v="4"/>
    <n v="4.4000000000000004"/>
    <n v="485.49"/>
  </r>
  <r>
    <n v="10038"/>
    <s v="2/7/2022"/>
    <n v="1856"/>
    <x v="2"/>
    <x v="3"/>
    <n v="6"/>
    <n v="261.14"/>
    <n v="0.31"/>
    <x v="1"/>
    <n v="6"/>
    <n v="3.5"/>
    <n v="1081.1199999999999"/>
  </r>
  <r>
    <n v="10039"/>
    <s v="2/8/2022"/>
    <n v="1560"/>
    <x v="2"/>
    <x v="1"/>
    <n v="1"/>
    <n v="428.42"/>
    <n v="0.26"/>
    <x v="2"/>
    <n v="10"/>
    <n v="1.7"/>
    <n v="317.02999999999997"/>
  </r>
  <r>
    <n v="10040"/>
    <s v="2/9/2022"/>
    <n v="1474"/>
    <x v="3"/>
    <x v="3"/>
    <n v="7"/>
    <n v="584.36"/>
    <n v="0.11"/>
    <x v="1"/>
    <n v="6"/>
    <n v="1.3"/>
    <n v="3640.56"/>
  </r>
  <r>
    <n v="10041"/>
    <s v="2/10/2022"/>
    <n v="1058"/>
    <x v="2"/>
    <x v="3"/>
    <n v="4"/>
    <n v="537.49"/>
    <n v="0.33"/>
    <x v="1"/>
    <n v="5"/>
    <n v="2.2000000000000002"/>
    <n v="1440.47"/>
  </r>
  <r>
    <n v="10042"/>
    <s v="2/11/2022"/>
    <n v="1510"/>
    <x v="3"/>
    <x v="2"/>
    <n v="4"/>
    <n v="215.32"/>
    <n v="0.03"/>
    <x v="1"/>
    <n v="2"/>
    <n v="1.1000000000000001"/>
    <n v="835.44"/>
  </r>
  <r>
    <n v="10043"/>
    <s v="2/12/2022"/>
    <n v="1681"/>
    <x v="2"/>
    <x v="0"/>
    <n v="4"/>
    <n v="598.95000000000005"/>
    <n v="0.34"/>
    <x v="1"/>
    <n v="7"/>
    <n v="4.4000000000000004"/>
    <n v="1581.23"/>
  </r>
  <r>
    <n v="10044"/>
    <s v="2/13/2022"/>
    <n v="1475"/>
    <x v="2"/>
    <x v="3"/>
    <n v="1"/>
    <n v="17.05"/>
    <n v="0.09"/>
    <x v="1"/>
    <n v="1"/>
    <n v="3.8"/>
    <n v="15.52"/>
  </r>
  <r>
    <n v="10045"/>
    <s v="2/14/2022"/>
    <n v="1699"/>
    <x v="3"/>
    <x v="1"/>
    <n v="3"/>
    <n v="31.16"/>
    <n v="0"/>
    <x v="0"/>
    <n v="6"/>
    <n v="3.3"/>
    <n v="93.48"/>
  </r>
  <r>
    <n v="10046"/>
    <s v="2/15/2022"/>
    <n v="1975"/>
    <x v="2"/>
    <x v="3"/>
    <n v="6"/>
    <n v="496.95"/>
    <n v="0.15"/>
    <x v="2"/>
    <n v="5"/>
    <n v="4.5999999999999996"/>
    <n v="2534.44"/>
  </r>
  <r>
    <n v="10047"/>
    <s v="2/16/2022"/>
    <n v="1782"/>
    <x v="2"/>
    <x v="1"/>
    <n v="4"/>
    <n v="131.69"/>
    <n v="0.13"/>
    <x v="2"/>
    <n v="5"/>
    <n v="1.4"/>
    <n v="458.28"/>
  </r>
  <r>
    <n v="10048"/>
    <s v="2/17/2022"/>
    <n v="1189"/>
    <x v="1"/>
    <x v="2"/>
    <n v="1"/>
    <n v="50.55"/>
    <n v="0.19"/>
    <x v="1"/>
    <n v="8"/>
    <n v="3.9"/>
    <n v="40.950000000000003"/>
  </r>
  <r>
    <n v="10049"/>
    <s v="2/18/2022"/>
    <n v="1957"/>
    <x v="2"/>
    <x v="0"/>
    <n v="7"/>
    <n v="153.72999999999999"/>
    <n v="0.28000000000000003"/>
    <x v="1"/>
    <n v="9"/>
    <n v="1.6"/>
    <n v="774.8"/>
  </r>
  <r>
    <n v="10050"/>
    <s v="2/19/2022"/>
    <n v="1686"/>
    <x v="3"/>
    <x v="3"/>
    <n v="2"/>
    <n v="264.27"/>
    <n v="0.28999999999999998"/>
    <x v="0"/>
    <n v="7"/>
    <n v="1.2"/>
    <n v="375.26"/>
  </r>
  <r>
    <n v="10051"/>
    <s v="2/20/2022"/>
    <n v="1957"/>
    <x v="2"/>
    <x v="0"/>
    <n v="7"/>
    <n v="442.38"/>
    <n v="0.14000000000000001"/>
    <x v="2"/>
    <n v="10"/>
    <n v="1.5"/>
    <n v="2663.13"/>
  </r>
  <r>
    <n v="10052"/>
    <s v="2/21/2022"/>
    <n v="1562"/>
    <x v="3"/>
    <x v="3"/>
    <n v="1"/>
    <n v="380.24"/>
    <n v="0.15"/>
    <x v="1"/>
    <n v="8"/>
    <n v="4.8"/>
    <n v="323.2"/>
  </r>
  <r>
    <n v="10053"/>
    <s v="2/22/2022"/>
    <n v="1875"/>
    <x v="0"/>
    <x v="1"/>
    <n v="1"/>
    <n v="154.01"/>
    <n v="0.05"/>
    <x v="1"/>
    <n v="2"/>
    <n v="2.8"/>
    <n v="146.31"/>
  </r>
  <r>
    <n v="10054"/>
    <s v="2/23/2022"/>
    <n v="1566"/>
    <x v="1"/>
    <x v="0"/>
    <n v="1"/>
    <n v="309.41000000000003"/>
    <n v="0.02"/>
    <x v="2"/>
    <n v="2"/>
    <n v="1.2"/>
    <n v="303.22000000000003"/>
  </r>
  <r>
    <n v="10055"/>
    <s v="2/24/2022"/>
    <n v="1243"/>
    <x v="0"/>
    <x v="3"/>
    <n v="4"/>
    <n v="556.84"/>
    <n v="0.22"/>
    <x v="0"/>
    <n v="8"/>
    <n v="3.3"/>
    <n v="1737.34"/>
  </r>
  <r>
    <n v="10056"/>
    <s v="2/25/2022"/>
    <n v="1831"/>
    <x v="1"/>
    <x v="2"/>
    <n v="1"/>
    <n v="491.78"/>
    <n v="0.02"/>
    <x v="1"/>
    <n v="6"/>
    <n v="1.8"/>
    <n v="481.94"/>
  </r>
  <r>
    <n v="10057"/>
    <s v="2/26/2022"/>
    <n v="1504"/>
    <x v="0"/>
    <x v="1"/>
    <n v="2"/>
    <n v="204.07"/>
    <n v="0.26"/>
    <x v="2"/>
    <n v="8"/>
    <n v="1"/>
    <n v="302.02"/>
  </r>
  <r>
    <n v="10058"/>
    <s v="2/27/2022"/>
    <n v="1130"/>
    <x v="2"/>
    <x v="0"/>
    <n v="4"/>
    <n v="589.62"/>
    <n v="0.19"/>
    <x v="2"/>
    <n v="9"/>
    <n v="4"/>
    <n v="1910.37"/>
  </r>
  <r>
    <n v="10059"/>
    <s v="2/28/2022"/>
    <n v="1484"/>
    <x v="3"/>
    <x v="3"/>
    <n v="7"/>
    <n v="429.54"/>
    <n v="7.0000000000000007E-2"/>
    <x v="0"/>
    <n v="9"/>
    <n v="1.6"/>
    <n v="2796.31"/>
  </r>
  <r>
    <n v="10060"/>
    <s v="3/1/2022"/>
    <n v="1818"/>
    <x v="1"/>
    <x v="0"/>
    <n v="2"/>
    <n v="51.53"/>
    <n v="0.19"/>
    <x v="0"/>
    <n v="11"/>
    <n v="4.8"/>
    <n v="83.48"/>
  </r>
  <r>
    <n v="10061"/>
    <s v="3/2/2022"/>
    <n v="1646"/>
    <x v="1"/>
    <x v="3"/>
    <n v="5"/>
    <n v="35.57"/>
    <n v="0.06"/>
    <x v="1"/>
    <n v="6"/>
    <n v="3.4"/>
    <n v="167.18"/>
  </r>
  <r>
    <n v="10062"/>
    <s v="3/3/2022"/>
    <n v="1020"/>
    <x v="1"/>
    <x v="1"/>
    <n v="7"/>
    <n v="113.52"/>
    <n v="0.15"/>
    <x v="2"/>
    <n v="8"/>
    <n v="1.3"/>
    <n v="675.44"/>
  </r>
  <r>
    <n v="10063"/>
    <s v="3/4/2022"/>
    <n v="1840"/>
    <x v="3"/>
    <x v="2"/>
    <n v="1"/>
    <n v="440.8"/>
    <n v="0.28000000000000003"/>
    <x v="2"/>
    <n v="2"/>
    <n v="1.9"/>
    <n v="317.38"/>
  </r>
  <r>
    <n v="10064"/>
    <s v="3/5/2022"/>
    <n v="1166"/>
    <x v="2"/>
    <x v="1"/>
    <n v="6"/>
    <n v="122.49"/>
    <n v="0.16"/>
    <x v="2"/>
    <n v="8"/>
    <n v="3.4"/>
    <n v="617.35"/>
  </r>
  <r>
    <n v="10065"/>
    <s v="3/6/2022"/>
    <n v="1273"/>
    <x v="2"/>
    <x v="0"/>
    <n v="6"/>
    <n v="314.22000000000003"/>
    <n v="0.05"/>
    <x v="0"/>
    <n v="3"/>
    <n v="2.4"/>
    <n v="1791.05"/>
  </r>
  <r>
    <n v="10066"/>
    <s v="3/7/2022"/>
    <n v="1387"/>
    <x v="3"/>
    <x v="0"/>
    <n v="4"/>
    <n v="69.56"/>
    <n v="0.25"/>
    <x v="0"/>
    <n v="1"/>
    <n v="3.1"/>
    <n v="208.68"/>
  </r>
  <r>
    <n v="10067"/>
    <s v="3/8/2022"/>
    <n v="1600"/>
    <x v="3"/>
    <x v="3"/>
    <n v="6"/>
    <n v="553.72"/>
    <n v="7.0000000000000007E-2"/>
    <x v="1"/>
    <n v="7"/>
    <n v="4.2"/>
    <n v="3089.76"/>
  </r>
  <r>
    <n v="10068"/>
    <s v="3/9/2022"/>
    <n v="1315"/>
    <x v="0"/>
    <x v="1"/>
    <n v="7"/>
    <n v="216.22"/>
    <n v="0.26"/>
    <x v="1"/>
    <n v="1"/>
    <n v="4.2"/>
    <n v="1120.02"/>
  </r>
  <r>
    <n v="10069"/>
    <s v="3/10/2022"/>
    <n v="1013"/>
    <x v="3"/>
    <x v="3"/>
    <n v="4"/>
    <n v="546.26"/>
    <n v="0.17"/>
    <x v="2"/>
    <n v="11"/>
    <n v="3.8"/>
    <n v="1813.58"/>
  </r>
  <r>
    <n v="10070"/>
    <s v="3/11/2022"/>
    <n v="1241"/>
    <x v="0"/>
    <x v="1"/>
    <n v="7"/>
    <n v="567.75"/>
    <n v="0.16"/>
    <x v="1"/>
    <n v="1"/>
    <n v="4.5"/>
    <n v="3338.37"/>
  </r>
  <r>
    <n v="10071"/>
    <s v="3/12/2022"/>
    <n v="1776"/>
    <x v="3"/>
    <x v="0"/>
    <n v="1"/>
    <n v="18.59"/>
    <n v="0.3"/>
    <x v="1"/>
    <n v="1"/>
    <n v="3"/>
    <n v="13.01"/>
  </r>
  <r>
    <n v="10072"/>
    <s v="3/13/2022"/>
    <n v="1345"/>
    <x v="2"/>
    <x v="3"/>
    <n v="3"/>
    <n v="286.52"/>
    <n v="0.25"/>
    <x v="1"/>
    <n v="4"/>
    <n v="1.7"/>
    <n v="644.66999999999996"/>
  </r>
  <r>
    <n v="10073"/>
    <s v="3/14/2022"/>
    <n v="1564"/>
    <x v="2"/>
    <x v="3"/>
    <n v="3"/>
    <n v="29.42"/>
    <n v="0.01"/>
    <x v="0"/>
    <n v="4"/>
    <n v="4.2"/>
    <n v="87.38"/>
  </r>
  <r>
    <n v="10074"/>
    <s v="3/15/2022"/>
    <n v="1897"/>
    <x v="3"/>
    <x v="1"/>
    <n v="2"/>
    <n v="546.59"/>
    <n v="0.1"/>
    <x v="1"/>
    <n v="10"/>
    <n v="2.2999999999999998"/>
    <n v="983.86"/>
  </r>
  <r>
    <n v="10075"/>
    <s v="3/16/2022"/>
    <n v="1339"/>
    <x v="1"/>
    <x v="2"/>
    <n v="1"/>
    <n v="318.27"/>
    <n v="0.3"/>
    <x v="2"/>
    <n v="11"/>
    <n v="3"/>
    <n v="222.79"/>
  </r>
  <r>
    <n v="10076"/>
    <s v="3/17/2022"/>
    <n v="1091"/>
    <x v="2"/>
    <x v="1"/>
    <n v="6"/>
    <n v="58.84"/>
    <n v="0.01"/>
    <x v="1"/>
    <n v="6"/>
    <n v="4"/>
    <n v="349.51"/>
  </r>
  <r>
    <n v="10077"/>
    <s v="3/18/2022"/>
    <n v="1366"/>
    <x v="1"/>
    <x v="2"/>
    <n v="1"/>
    <n v="79.510000000000005"/>
    <n v="0.19"/>
    <x v="1"/>
    <n v="10"/>
    <n v="2.6"/>
    <n v="64.400000000000006"/>
  </r>
  <r>
    <n v="10078"/>
    <s v="3/19/2022"/>
    <n v="1955"/>
    <x v="0"/>
    <x v="1"/>
    <n v="5"/>
    <n v="239.35"/>
    <n v="0.25"/>
    <x v="1"/>
    <n v="3"/>
    <n v="1.5"/>
    <n v="897.56"/>
  </r>
  <r>
    <n v="10079"/>
    <s v="3/20/2022"/>
    <n v="1454"/>
    <x v="1"/>
    <x v="0"/>
    <n v="3"/>
    <n v="565.04"/>
    <n v="0.22"/>
    <x v="1"/>
    <n v="10"/>
    <n v="3.7"/>
    <n v="1322.19"/>
  </r>
  <r>
    <n v="10080"/>
    <s v="3/21/2022"/>
    <n v="1427"/>
    <x v="1"/>
    <x v="3"/>
    <n v="6"/>
    <n v="420.35"/>
    <n v="0.27"/>
    <x v="0"/>
    <n v="6"/>
    <n v="4.3"/>
    <n v="1841.13"/>
  </r>
  <r>
    <n v="10081"/>
    <s v="3/22/2022"/>
    <n v="1508"/>
    <x v="1"/>
    <x v="1"/>
    <n v="7"/>
    <n v="522.55999999999995"/>
    <n v="0.25"/>
    <x v="0"/>
    <n v="7"/>
    <n v="1.1000000000000001"/>
    <n v="2743.44"/>
  </r>
  <r>
    <n v="10082"/>
    <s v="3/23/2022"/>
    <n v="1775"/>
    <x v="2"/>
    <x v="0"/>
    <n v="7"/>
    <n v="229.38"/>
    <n v="0.24"/>
    <x v="2"/>
    <n v="11"/>
    <n v="3.3"/>
    <n v="1220.3"/>
  </r>
  <r>
    <n v="10083"/>
    <s v="3/24/2022"/>
    <n v="1942"/>
    <x v="1"/>
    <x v="1"/>
    <n v="3"/>
    <n v="40.28"/>
    <n v="0.28999999999999998"/>
    <x v="1"/>
    <n v="1"/>
    <n v="2.9"/>
    <n v="85.8"/>
  </r>
  <r>
    <n v="10084"/>
    <s v="3/25/2022"/>
    <n v="1034"/>
    <x v="1"/>
    <x v="3"/>
    <n v="1"/>
    <n v="584.98"/>
    <n v="0.23"/>
    <x v="2"/>
    <n v="6"/>
    <n v="2"/>
    <n v="450.43"/>
  </r>
  <r>
    <n v="10085"/>
    <s v="3/26/2022"/>
    <n v="1205"/>
    <x v="2"/>
    <x v="1"/>
    <n v="6"/>
    <n v="25.05"/>
    <n v="0.14000000000000001"/>
    <x v="1"/>
    <n v="10"/>
    <n v="1.6"/>
    <n v="129.26"/>
  </r>
  <r>
    <n v="10086"/>
    <s v="3/27/2022"/>
    <n v="1080"/>
    <x v="3"/>
    <x v="2"/>
    <n v="2"/>
    <n v="569.38"/>
    <n v="0.17"/>
    <x v="1"/>
    <n v="1"/>
    <n v="1.8"/>
    <n v="945.17"/>
  </r>
  <r>
    <n v="10087"/>
    <s v="3/28/2022"/>
    <n v="1931"/>
    <x v="1"/>
    <x v="3"/>
    <n v="7"/>
    <n v="230.68"/>
    <n v="0.25"/>
    <x v="2"/>
    <n v="7"/>
    <n v="3.9"/>
    <n v="1211.07"/>
  </r>
  <r>
    <n v="10088"/>
    <s v="3/29/2022"/>
    <n v="1561"/>
    <x v="3"/>
    <x v="2"/>
    <n v="1"/>
    <n v="20.9"/>
    <n v="0.31"/>
    <x v="2"/>
    <n v="10"/>
    <n v="3.1"/>
    <n v="14.42"/>
  </r>
  <r>
    <n v="10089"/>
    <s v="3/30/2022"/>
    <n v="1871"/>
    <x v="0"/>
    <x v="0"/>
    <n v="2"/>
    <n v="418.16"/>
    <n v="0.1"/>
    <x v="1"/>
    <n v="5"/>
    <n v="4.9000000000000004"/>
    <n v="752.69"/>
  </r>
  <r>
    <n v="10090"/>
    <s v="3/31/2022"/>
    <n v="1387"/>
    <x v="2"/>
    <x v="0"/>
    <n v="6"/>
    <n v="588.62"/>
    <n v="0.12"/>
    <x v="1"/>
    <n v="10"/>
    <n v="2"/>
    <n v="3107.91"/>
  </r>
  <r>
    <n v="10091"/>
    <s v="4/1/2022"/>
    <n v="1001"/>
    <x v="3"/>
    <x v="1"/>
    <n v="3"/>
    <n v="579.89"/>
    <n v="0.33"/>
    <x v="0"/>
    <n v="4"/>
    <n v="4.8"/>
    <n v="1165.58"/>
  </r>
  <r>
    <n v="10092"/>
    <s v="4/2/2022"/>
    <n v="1389"/>
    <x v="1"/>
    <x v="2"/>
    <n v="5"/>
    <n v="109.15"/>
    <n v="0.2"/>
    <x v="1"/>
    <n v="1"/>
    <n v="3.1"/>
    <n v="436.6"/>
  </r>
  <r>
    <n v="10093"/>
    <s v="4/3/2022"/>
    <n v="1565"/>
    <x v="0"/>
    <x v="2"/>
    <n v="4"/>
    <n v="121.03"/>
    <n v="0.06"/>
    <x v="0"/>
    <n v="9"/>
    <n v="1.6"/>
    <n v="455.07"/>
  </r>
  <r>
    <n v="10094"/>
    <s v="4/4/2022"/>
    <n v="1105"/>
    <x v="2"/>
    <x v="3"/>
    <n v="3"/>
    <n v="345.84"/>
    <n v="0.23"/>
    <x v="0"/>
    <n v="7"/>
    <n v="1.6"/>
    <n v="798.89"/>
  </r>
  <r>
    <n v="10095"/>
    <s v="4/5/2022"/>
    <n v="1771"/>
    <x v="3"/>
    <x v="2"/>
    <n v="2"/>
    <n v="387.82"/>
    <n v="0.35"/>
    <x v="2"/>
    <n v="2"/>
    <n v="3.4"/>
    <n v="504.17"/>
  </r>
  <r>
    <n v="10096"/>
    <s v="4/6/2022"/>
    <n v="1821"/>
    <x v="2"/>
    <x v="2"/>
    <n v="1"/>
    <n v="447.56"/>
    <n v="0.28999999999999998"/>
    <x v="1"/>
    <n v="4"/>
    <n v="4.3"/>
    <n v="317.77"/>
  </r>
  <r>
    <n v="10097"/>
    <s v="4/7/2022"/>
    <n v="1476"/>
    <x v="2"/>
    <x v="3"/>
    <n v="7"/>
    <n v="120.91"/>
    <n v="0.26"/>
    <x v="2"/>
    <n v="4"/>
    <n v="4"/>
    <n v="626.30999999999995"/>
  </r>
  <r>
    <n v="10098"/>
    <s v="4/8/2022"/>
    <n v="1702"/>
    <x v="2"/>
    <x v="3"/>
    <n v="6"/>
    <n v="576.02"/>
    <n v="7.0000000000000007E-2"/>
    <x v="1"/>
    <n v="8"/>
    <n v="3.6"/>
    <n v="3214.19"/>
  </r>
  <r>
    <n v="10099"/>
    <s v="4/9/2022"/>
    <n v="1401"/>
    <x v="3"/>
    <x v="2"/>
    <n v="3"/>
    <n v="388.66"/>
    <n v="0.31"/>
    <x v="1"/>
    <n v="2"/>
    <n v="1.7"/>
    <n v="804.53"/>
  </r>
  <r>
    <n v="10100"/>
    <s v="4/10/2022"/>
    <n v="1729"/>
    <x v="3"/>
    <x v="1"/>
    <n v="7"/>
    <n v="510.52"/>
    <n v="0.18"/>
    <x v="2"/>
    <n v="11"/>
    <n v="1.4"/>
    <n v="2930.38"/>
  </r>
  <r>
    <n v="10101"/>
    <s v="4/11/2022"/>
    <n v="1555"/>
    <x v="2"/>
    <x v="3"/>
    <n v="7"/>
    <n v="330.94"/>
    <n v="0.31"/>
    <x v="1"/>
    <n v="5"/>
    <n v="1"/>
    <n v="1598.44"/>
  </r>
  <r>
    <n v="10102"/>
    <s v="4/12/2022"/>
    <n v="1161"/>
    <x v="1"/>
    <x v="3"/>
    <n v="5"/>
    <n v="257.35000000000002"/>
    <n v="0.12"/>
    <x v="1"/>
    <n v="10"/>
    <n v="1.4"/>
    <n v="1132.3399999999999"/>
  </r>
  <r>
    <n v="10103"/>
    <s v="4/13/2022"/>
    <n v="1201"/>
    <x v="1"/>
    <x v="2"/>
    <n v="6"/>
    <n v="586.65"/>
    <n v="0.02"/>
    <x v="2"/>
    <n v="8"/>
    <n v="4.0999999999999996"/>
    <n v="3449.5"/>
  </r>
  <r>
    <n v="10104"/>
    <s v="4/14/2022"/>
    <n v="1957"/>
    <x v="3"/>
    <x v="2"/>
    <n v="2"/>
    <n v="355.54"/>
    <n v="0.17"/>
    <x v="2"/>
    <n v="6"/>
    <n v="4.5999999999999996"/>
    <n v="590.20000000000005"/>
  </r>
  <r>
    <n v="10105"/>
    <s v="4/15/2022"/>
    <n v="1995"/>
    <x v="2"/>
    <x v="3"/>
    <n v="6"/>
    <n v="522.12"/>
    <n v="0.09"/>
    <x v="1"/>
    <n v="4"/>
    <n v="2"/>
    <n v="2850.78"/>
  </r>
  <r>
    <n v="10106"/>
    <s v="4/16/2022"/>
    <n v="1269"/>
    <x v="0"/>
    <x v="2"/>
    <n v="6"/>
    <n v="572.67999999999995"/>
    <n v="0.25"/>
    <x v="1"/>
    <n v="5"/>
    <n v="4.2"/>
    <n v="2577.06"/>
  </r>
  <r>
    <n v="10107"/>
    <s v="4/17/2022"/>
    <n v="1862"/>
    <x v="2"/>
    <x v="3"/>
    <n v="1"/>
    <n v="410.08"/>
    <n v="0.33"/>
    <x v="1"/>
    <n v="2"/>
    <n v="1.8"/>
    <n v="274.75"/>
  </r>
  <r>
    <n v="10108"/>
    <s v="4/18/2022"/>
    <n v="1815"/>
    <x v="1"/>
    <x v="1"/>
    <n v="4"/>
    <n v="336.13"/>
    <n v="0.24"/>
    <x v="1"/>
    <n v="5"/>
    <n v="2"/>
    <n v="1021.84"/>
  </r>
  <r>
    <n v="10109"/>
    <s v="4/19/2022"/>
    <n v="1270"/>
    <x v="2"/>
    <x v="1"/>
    <n v="7"/>
    <n v="17.05"/>
    <n v="0.31"/>
    <x v="2"/>
    <n v="3"/>
    <n v="1.9"/>
    <n v="82.35"/>
  </r>
  <r>
    <n v="10110"/>
    <s v="4/20/2022"/>
    <n v="1455"/>
    <x v="2"/>
    <x v="3"/>
    <n v="2"/>
    <n v="38.409999999999997"/>
    <n v="0.16"/>
    <x v="2"/>
    <n v="3"/>
    <n v="1.2"/>
    <n v="64.53"/>
  </r>
  <r>
    <n v="10111"/>
    <s v="4/21/2022"/>
    <n v="1461"/>
    <x v="1"/>
    <x v="3"/>
    <n v="1"/>
    <n v="132.5"/>
    <n v="0.27"/>
    <x v="2"/>
    <n v="7"/>
    <n v="1.8"/>
    <n v="96.72"/>
  </r>
  <r>
    <n v="10112"/>
    <s v="4/22/2022"/>
    <n v="1726"/>
    <x v="2"/>
    <x v="0"/>
    <n v="7"/>
    <n v="123.81"/>
    <n v="0.3"/>
    <x v="1"/>
    <n v="3"/>
    <n v="2.5"/>
    <n v="606.66999999999996"/>
  </r>
  <r>
    <n v="10113"/>
    <s v="4/23/2022"/>
    <n v="1251"/>
    <x v="3"/>
    <x v="0"/>
    <n v="4"/>
    <n v="164.03"/>
    <n v="0.25"/>
    <x v="1"/>
    <n v="4"/>
    <n v="2.6"/>
    <n v="492.09"/>
  </r>
  <r>
    <n v="10114"/>
    <s v="4/24/2022"/>
    <n v="1701"/>
    <x v="2"/>
    <x v="2"/>
    <n v="1"/>
    <n v="193.39"/>
    <n v="0.18"/>
    <x v="1"/>
    <n v="7"/>
    <n v="2.2000000000000002"/>
    <n v="158.58000000000001"/>
  </r>
  <r>
    <n v="10115"/>
    <s v="4/25/2022"/>
    <n v="1295"/>
    <x v="1"/>
    <x v="2"/>
    <n v="4"/>
    <n v="225.64"/>
    <n v="0.22"/>
    <x v="1"/>
    <n v="3"/>
    <n v="3.1"/>
    <n v="704"/>
  </r>
  <r>
    <n v="10116"/>
    <s v="4/26/2022"/>
    <n v="1724"/>
    <x v="2"/>
    <x v="3"/>
    <n v="4"/>
    <n v="261.01"/>
    <n v="0.25"/>
    <x v="1"/>
    <n v="10"/>
    <n v="2.5"/>
    <n v="783.03"/>
  </r>
  <r>
    <n v="10117"/>
    <s v="4/27/2022"/>
    <n v="1719"/>
    <x v="2"/>
    <x v="3"/>
    <n v="4"/>
    <n v="72.84"/>
    <n v="0.09"/>
    <x v="1"/>
    <n v="10"/>
    <n v="4.9000000000000004"/>
    <n v="265.14"/>
  </r>
  <r>
    <n v="10118"/>
    <s v="4/28/2022"/>
    <n v="1748"/>
    <x v="2"/>
    <x v="0"/>
    <n v="1"/>
    <n v="39.78"/>
    <n v="0.28000000000000003"/>
    <x v="1"/>
    <n v="2"/>
    <n v="4.2"/>
    <n v="28.64"/>
  </r>
  <r>
    <n v="10119"/>
    <s v="4/29/2022"/>
    <n v="1337"/>
    <x v="1"/>
    <x v="0"/>
    <n v="6"/>
    <n v="409.26"/>
    <n v="0.33"/>
    <x v="2"/>
    <n v="10"/>
    <n v="4.7"/>
    <n v="1645.23"/>
  </r>
  <r>
    <n v="10120"/>
    <s v="4/30/2022"/>
    <n v="1878"/>
    <x v="1"/>
    <x v="3"/>
    <n v="4"/>
    <n v="329.34"/>
    <n v="0.16"/>
    <x v="2"/>
    <n v="7"/>
    <n v="3.2"/>
    <n v="1106.58"/>
  </r>
  <r>
    <n v="10121"/>
    <s v="5/1/2022"/>
    <n v="1052"/>
    <x v="1"/>
    <x v="1"/>
    <n v="6"/>
    <n v="274.82"/>
    <n v="0.25"/>
    <x v="2"/>
    <n v="6"/>
    <n v="3.7"/>
    <n v="1236.69"/>
  </r>
  <r>
    <n v="10122"/>
    <s v="5/2/2022"/>
    <n v="1791"/>
    <x v="1"/>
    <x v="1"/>
    <n v="7"/>
    <n v="386.15"/>
    <n v="0.26"/>
    <x v="1"/>
    <n v="1"/>
    <n v="1.7"/>
    <n v="2000.26"/>
  </r>
  <r>
    <n v="10123"/>
    <s v="5/3/2022"/>
    <n v="1921"/>
    <x v="1"/>
    <x v="2"/>
    <n v="7"/>
    <n v="499.19"/>
    <n v="0.23"/>
    <x v="0"/>
    <n v="10"/>
    <n v="4"/>
    <n v="2690.63"/>
  </r>
  <r>
    <n v="10124"/>
    <s v="5/4/2022"/>
    <n v="1216"/>
    <x v="2"/>
    <x v="3"/>
    <n v="2"/>
    <n v="265.2"/>
    <n v="0.19"/>
    <x v="0"/>
    <n v="8"/>
    <n v="1.9"/>
    <n v="429.62"/>
  </r>
  <r>
    <n v="10125"/>
    <s v="5/5/2022"/>
    <n v="1763"/>
    <x v="1"/>
    <x v="3"/>
    <n v="5"/>
    <n v="390.05"/>
    <n v="0.31"/>
    <x v="1"/>
    <n v="3"/>
    <n v="1.6"/>
    <n v="1345.67"/>
  </r>
  <r>
    <n v="10126"/>
    <s v="5/6/2022"/>
    <n v="1187"/>
    <x v="0"/>
    <x v="2"/>
    <n v="6"/>
    <n v="572.84"/>
    <n v="0.16"/>
    <x v="2"/>
    <n v="11"/>
    <n v="1.2"/>
    <n v="2887.11"/>
  </r>
  <r>
    <n v="10127"/>
    <s v="5/7/2022"/>
    <n v="1379"/>
    <x v="1"/>
    <x v="0"/>
    <n v="7"/>
    <n v="506.18"/>
    <n v="0.02"/>
    <x v="0"/>
    <n v="7"/>
    <n v="2.9"/>
    <n v="3472.39"/>
  </r>
  <r>
    <n v="10128"/>
    <s v="5/8/2022"/>
    <n v="1492"/>
    <x v="3"/>
    <x v="0"/>
    <n v="5"/>
    <n v="264.20999999999998"/>
    <n v="0.3"/>
    <x v="2"/>
    <n v="6"/>
    <n v="2.1"/>
    <n v="924.73"/>
  </r>
  <r>
    <n v="10129"/>
    <s v="5/9/2022"/>
    <n v="1040"/>
    <x v="2"/>
    <x v="1"/>
    <n v="4"/>
    <n v="392.16"/>
    <n v="0.24"/>
    <x v="1"/>
    <n v="10"/>
    <n v="4.9000000000000004"/>
    <n v="1192.17"/>
  </r>
  <r>
    <n v="10130"/>
    <s v="5/10/2022"/>
    <n v="1156"/>
    <x v="3"/>
    <x v="3"/>
    <n v="5"/>
    <n v="118.59"/>
    <n v="0.3"/>
    <x v="2"/>
    <n v="6"/>
    <n v="2"/>
    <n v="415.06"/>
  </r>
  <r>
    <n v="10131"/>
    <s v="5/11/2022"/>
    <n v="1014"/>
    <x v="3"/>
    <x v="0"/>
    <n v="5"/>
    <n v="342.91"/>
    <n v="0.05"/>
    <x v="2"/>
    <n v="8"/>
    <n v="4.5"/>
    <n v="1628.82"/>
  </r>
  <r>
    <n v="10132"/>
    <s v="5/12/2022"/>
    <n v="1812"/>
    <x v="1"/>
    <x v="1"/>
    <n v="4"/>
    <n v="589.08000000000004"/>
    <n v="0.01"/>
    <x v="1"/>
    <n v="4"/>
    <n v="2.2999999999999998"/>
    <n v="2332.7600000000002"/>
  </r>
  <r>
    <n v="10133"/>
    <s v="5/13/2022"/>
    <n v="1064"/>
    <x v="0"/>
    <x v="1"/>
    <n v="6"/>
    <n v="318.20999999999998"/>
    <n v="0.33"/>
    <x v="0"/>
    <n v="4"/>
    <n v="4"/>
    <n v="1279.2"/>
  </r>
  <r>
    <n v="10134"/>
    <s v="5/14/2022"/>
    <n v="1856"/>
    <x v="2"/>
    <x v="1"/>
    <n v="4"/>
    <n v="557.66999999999996"/>
    <n v="0.05"/>
    <x v="2"/>
    <n v="3"/>
    <n v="3.6"/>
    <n v="2119.15"/>
  </r>
  <r>
    <n v="10135"/>
    <s v="5/15/2022"/>
    <n v="1838"/>
    <x v="2"/>
    <x v="0"/>
    <n v="2"/>
    <n v="253.29"/>
    <n v="0.28000000000000003"/>
    <x v="1"/>
    <n v="1"/>
    <n v="3.2"/>
    <n v="364.74"/>
  </r>
  <r>
    <n v="10136"/>
    <s v="5/16/2022"/>
    <n v="1520"/>
    <x v="3"/>
    <x v="0"/>
    <n v="3"/>
    <n v="599.32000000000005"/>
    <n v="0.28999999999999998"/>
    <x v="2"/>
    <n v="10"/>
    <n v="2.7"/>
    <n v="1276.55"/>
  </r>
  <r>
    <n v="10137"/>
    <s v="5/17/2022"/>
    <n v="1343"/>
    <x v="3"/>
    <x v="3"/>
    <n v="1"/>
    <n v="353.84"/>
    <n v="0.25"/>
    <x v="2"/>
    <n v="3"/>
    <n v="3.7"/>
    <n v="265.38"/>
  </r>
  <r>
    <n v="10138"/>
    <s v="5/18/2022"/>
    <n v="1128"/>
    <x v="2"/>
    <x v="3"/>
    <n v="4"/>
    <n v="39.729999999999997"/>
    <n v="0.05"/>
    <x v="1"/>
    <n v="1"/>
    <n v="2.6"/>
    <n v="150.97"/>
  </r>
  <r>
    <n v="10139"/>
    <s v="5/19/2022"/>
    <n v="1647"/>
    <x v="2"/>
    <x v="1"/>
    <n v="4"/>
    <n v="358.25"/>
    <n v="0.23"/>
    <x v="1"/>
    <n v="6"/>
    <n v="3.2"/>
    <n v="1103.4100000000001"/>
  </r>
  <r>
    <n v="10140"/>
    <s v="5/20/2022"/>
    <n v="1471"/>
    <x v="2"/>
    <x v="1"/>
    <n v="5"/>
    <n v="175.63"/>
    <n v="0.31"/>
    <x v="0"/>
    <n v="8"/>
    <n v="3.4"/>
    <n v="605.91999999999996"/>
  </r>
  <r>
    <n v="10141"/>
    <s v="5/21/2022"/>
    <n v="1062"/>
    <x v="2"/>
    <x v="0"/>
    <n v="2"/>
    <n v="34"/>
    <n v="0.15"/>
    <x v="2"/>
    <n v="3"/>
    <n v="2.1"/>
    <n v="57.8"/>
  </r>
  <r>
    <n v="10142"/>
    <s v="5/22/2022"/>
    <n v="1138"/>
    <x v="3"/>
    <x v="0"/>
    <n v="7"/>
    <n v="495.2"/>
    <n v="0.14000000000000001"/>
    <x v="1"/>
    <n v="4"/>
    <n v="2.4"/>
    <n v="2981.1"/>
  </r>
  <r>
    <n v="10143"/>
    <s v="5/23/2022"/>
    <n v="1498"/>
    <x v="1"/>
    <x v="3"/>
    <n v="7"/>
    <n v="176.3"/>
    <n v="0.16"/>
    <x v="1"/>
    <n v="5"/>
    <n v="1.1000000000000001"/>
    <n v="1036.6400000000001"/>
  </r>
  <r>
    <n v="10144"/>
    <s v="5/24/2022"/>
    <n v="1592"/>
    <x v="2"/>
    <x v="3"/>
    <n v="5"/>
    <n v="480.98"/>
    <n v="0.03"/>
    <x v="2"/>
    <n v="7"/>
    <n v="4.4000000000000004"/>
    <n v="2332.75"/>
  </r>
  <r>
    <n v="10145"/>
    <s v="5/25/2022"/>
    <n v="1391"/>
    <x v="1"/>
    <x v="2"/>
    <n v="6"/>
    <n v="183.61"/>
    <n v="0.31"/>
    <x v="2"/>
    <n v="11"/>
    <n v="4"/>
    <n v="760.15"/>
  </r>
  <r>
    <n v="10146"/>
    <s v="5/26/2022"/>
    <n v="1674"/>
    <x v="2"/>
    <x v="3"/>
    <n v="4"/>
    <n v="128.68"/>
    <n v="0.3"/>
    <x v="1"/>
    <n v="6"/>
    <n v="1.7"/>
    <n v="360.3"/>
  </r>
  <r>
    <n v="10147"/>
    <s v="5/27/2022"/>
    <n v="1418"/>
    <x v="2"/>
    <x v="0"/>
    <n v="4"/>
    <n v="584.75"/>
    <n v="0.35"/>
    <x v="2"/>
    <n v="2"/>
    <n v="2.4"/>
    <n v="1520.35"/>
  </r>
  <r>
    <n v="10148"/>
    <s v="5/28/2022"/>
    <n v="1288"/>
    <x v="1"/>
    <x v="1"/>
    <n v="5"/>
    <n v="226.56"/>
    <n v="0.2"/>
    <x v="1"/>
    <n v="7"/>
    <n v="2.7"/>
    <n v="906.24"/>
  </r>
  <r>
    <n v="10149"/>
    <s v="5/29/2022"/>
    <n v="1378"/>
    <x v="0"/>
    <x v="2"/>
    <n v="4"/>
    <n v="366.81"/>
    <n v="0.26"/>
    <x v="1"/>
    <n v="8"/>
    <n v="2.2999999999999998"/>
    <n v="1085.76"/>
  </r>
  <r>
    <n v="10150"/>
    <s v="5/30/2022"/>
    <n v="1772"/>
    <x v="3"/>
    <x v="3"/>
    <n v="6"/>
    <n v="371.84"/>
    <n v="7.0000000000000007E-2"/>
    <x v="2"/>
    <n v="1"/>
    <n v="4.2"/>
    <n v="2074.87"/>
  </r>
  <r>
    <n v="10151"/>
    <s v="5/31/2022"/>
    <n v="1489"/>
    <x v="2"/>
    <x v="3"/>
    <n v="3"/>
    <n v="342.88"/>
    <n v="0.19"/>
    <x v="1"/>
    <n v="6"/>
    <n v="3.9"/>
    <n v="792.05"/>
  </r>
  <r>
    <n v="10152"/>
    <s v="6/1/2022"/>
    <n v="1230"/>
    <x v="0"/>
    <x v="0"/>
    <n v="1"/>
    <n v="550.1"/>
    <n v="0.23"/>
    <x v="0"/>
    <n v="11"/>
    <n v="4.0999999999999996"/>
    <n v="423.58"/>
  </r>
  <r>
    <n v="10153"/>
    <s v="6/2/2022"/>
    <n v="1040"/>
    <x v="3"/>
    <x v="2"/>
    <n v="1"/>
    <n v="409.55"/>
    <n v="0.32"/>
    <x v="1"/>
    <n v="9"/>
    <n v="4.5999999999999996"/>
    <n v="278.49"/>
  </r>
  <r>
    <n v="10154"/>
    <s v="6/3/2022"/>
    <n v="1027"/>
    <x v="3"/>
    <x v="3"/>
    <n v="1"/>
    <n v="251.18"/>
    <n v="0.28999999999999998"/>
    <x v="2"/>
    <n v="7"/>
    <n v="3.4"/>
    <n v="178.34"/>
  </r>
  <r>
    <n v="10155"/>
    <s v="6/4/2022"/>
    <n v="1134"/>
    <x v="1"/>
    <x v="1"/>
    <n v="3"/>
    <n v="519.49"/>
    <n v="0.33"/>
    <x v="1"/>
    <n v="5"/>
    <n v="3.5"/>
    <n v="1044.17"/>
  </r>
  <r>
    <n v="10156"/>
    <s v="6/5/2022"/>
    <n v="1200"/>
    <x v="1"/>
    <x v="0"/>
    <n v="4"/>
    <n v="120.92"/>
    <n v="0.3"/>
    <x v="1"/>
    <n v="10"/>
    <n v="3.9"/>
    <n v="338.58"/>
  </r>
  <r>
    <n v="10157"/>
    <s v="6/6/2022"/>
    <n v="1839"/>
    <x v="2"/>
    <x v="2"/>
    <n v="5"/>
    <n v="333.38"/>
    <n v="0.3"/>
    <x v="2"/>
    <n v="11"/>
    <n v="3.7"/>
    <n v="1166.83"/>
  </r>
  <r>
    <n v="10158"/>
    <s v="6/7/2022"/>
    <n v="1779"/>
    <x v="2"/>
    <x v="3"/>
    <n v="7"/>
    <n v="571.07000000000005"/>
    <n v="0.02"/>
    <x v="2"/>
    <n v="10"/>
    <n v="4.5"/>
    <n v="3917.54"/>
  </r>
  <r>
    <n v="10159"/>
    <s v="6/8/2022"/>
    <n v="1929"/>
    <x v="2"/>
    <x v="3"/>
    <n v="2"/>
    <n v="380.86"/>
    <n v="0.3"/>
    <x v="2"/>
    <n v="9"/>
    <n v="4.0999999999999996"/>
    <n v="533.20000000000005"/>
  </r>
  <r>
    <n v="10160"/>
    <s v="6/9/2022"/>
    <n v="1032"/>
    <x v="2"/>
    <x v="2"/>
    <n v="4"/>
    <n v="492.93"/>
    <n v="0.21"/>
    <x v="2"/>
    <n v="2"/>
    <n v="1.5"/>
    <n v="1557.66"/>
  </r>
  <r>
    <n v="10161"/>
    <s v="6/10/2022"/>
    <n v="1047"/>
    <x v="1"/>
    <x v="0"/>
    <n v="3"/>
    <n v="397.33"/>
    <n v="0.13"/>
    <x v="2"/>
    <n v="7"/>
    <n v="4.7"/>
    <n v="1037.03"/>
  </r>
  <r>
    <n v="10162"/>
    <s v="6/11/2022"/>
    <n v="1502"/>
    <x v="3"/>
    <x v="2"/>
    <n v="6"/>
    <n v="506.03"/>
    <n v="0.02"/>
    <x v="2"/>
    <n v="9"/>
    <n v="3.7"/>
    <n v="2975.46"/>
  </r>
  <r>
    <n v="10163"/>
    <s v="6/12/2022"/>
    <n v="1406"/>
    <x v="1"/>
    <x v="2"/>
    <n v="3"/>
    <n v="567.53"/>
    <n v="0.24"/>
    <x v="2"/>
    <n v="2"/>
    <n v="1.5"/>
    <n v="1293.97"/>
  </r>
  <r>
    <n v="10164"/>
    <s v="6/13/2022"/>
    <n v="1573"/>
    <x v="2"/>
    <x v="0"/>
    <n v="7"/>
    <n v="174.66"/>
    <n v="0.11"/>
    <x v="2"/>
    <n v="11"/>
    <n v="4.0999999999999996"/>
    <n v="1088.1300000000001"/>
  </r>
  <r>
    <n v="10165"/>
    <s v="6/14/2022"/>
    <n v="1727"/>
    <x v="0"/>
    <x v="3"/>
    <n v="1"/>
    <n v="114.25"/>
    <n v="0.16"/>
    <x v="2"/>
    <n v="10"/>
    <n v="2.4"/>
    <n v="95.97"/>
  </r>
  <r>
    <n v="10166"/>
    <s v="6/15/2022"/>
    <n v="1804"/>
    <x v="0"/>
    <x v="1"/>
    <n v="4"/>
    <n v="298.13"/>
    <n v="0.24"/>
    <x v="0"/>
    <n v="6"/>
    <n v="4.2"/>
    <n v="906.32"/>
  </r>
  <r>
    <n v="10167"/>
    <s v="6/16/2022"/>
    <n v="1098"/>
    <x v="3"/>
    <x v="0"/>
    <n v="7"/>
    <n v="425.59"/>
    <n v="0.32"/>
    <x v="1"/>
    <n v="9"/>
    <n v="4.8"/>
    <n v="2025.81"/>
  </r>
  <r>
    <n v="10168"/>
    <s v="6/17/2022"/>
    <n v="1683"/>
    <x v="0"/>
    <x v="1"/>
    <n v="1"/>
    <n v="147.91"/>
    <n v="0.28999999999999998"/>
    <x v="2"/>
    <n v="3"/>
    <n v="2"/>
    <n v="105.02"/>
  </r>
  <r>
    <n v="10169"/>
    <s v="6/18/2022"/>
    <n v="1871"/>
    <x v="1"/>
    <x v="3"/>
    <n v="2"/>
    <n v="17.399999999999999"/>
    <n v="0.16"/>
    <x v="1"/>
    <n v="8"/>
    <n v="4.4000000000000004"/>
    <n v="29.23"/>
  </r>
  <r>
    <n v="10170"/>
    <s v="6/19/2022"/>
    <n v="1725"/>
    <x v="0"/>
    <x v="2"/>
    <n v="6"/>
    <n v="215.62"/>
    <n v="0.14000000000000001"/>
    <x v="1"/>
    <n v="5"/>
    <n v="4.0999999999999996"/>
    <n v="1112.5999999999999"/>
  </r>
  <r>
    <n v="10171"/>
    <s v="6/20/2022"/>
    <n v="1986"/>
    <x v="2"/>
    <x v="1"/>
    <n v="1"/>
    <n v="581.78"/>
    <n v="0.08"/>
    <x v="1"/>
    <n v="7"/>
    <n v="3.7"/>
    <n v="535.24"/>
  </r>
  <r>
    <n v="10172"/>
    <s v="6/21/2022"/>
    <n v="1546"/>
    <x v="1"/>
    <x v="3"/>
    <n v="2"/>
    <n v="421.56"/>
    <n v="0.13"/>
    <x v="0"/>
    <n v="3"/>
    <n v="2.5"/>
    <n v="733.51"/>
  </r>
  <r>
    <n v="10173"/>
    <s v="6/22/2022"/>
    <n v="1960"/>
    <x v="2"/>
    <x v="3"/>
    <n v="3"/>
    <n v="249.78"/>
    <n v="0.04"/>
    <x v="2"/>
    <n v="8"/>
    <n v="1.4"/>
    <n v="719.37"/>
  </r>
  <r>
    <n v="10174"/>
    <s v="6/23/2022"/>
    <n v="1738"/>
    <x v="2"/>
    <x v="2"/>
    <n v="1"/>
    <n v="127.66"/>
    <n v="0.34"/>
    <x v="2"/>
    <n v="2"/>
    <n v="2.9"/>
    <n v="84.26"/>
  </r>
  <r>
    <n v="10175"/>
    <s v="6/24/2022"/>
    <n v="1612"/>
    <x v="2"/>
    <x v="2"/>
    <n v="1"/>
    <n v="223.31"/>
    <n v="0.2"/>
    <x v="1"/>
    <n v="8"/>
    <n v="1.4"/>
    <n v="178.65"/>
  </r>
  <r>
    <n v="10176"/>
    <s v="6/25/2022"/>
    <n v="1942"/>
    <x v="1"/>
    <x v="3"/>
    <n v="5"/>
    <n v="114.36"/>
    <n v="0.04"/>
    <x v="2"/>
    <n v="2"/>
    <n v="3"/>
    <n v="548.92999999999995"/>
  </r>
  <r>
    <n v="10177"/>
    <s v="6/26/2022"/>
    <n v="1461"/>
    <x v="3"/>
    <x v="3"/>
    <n v="6"/>
    <n v="77.19"/>
    <n v="0.12"/>
    <x v="0"/>
    <n v="7"/>
    <n v="4.3"/>
    <n v="407.56"/>
  </r>
  <r>
    <n v="10178"/>
    <s v="6/27/2022"/>
    <n v="1642"/>
    <x v="1"/>
    <x v="1"/>
    <n v="6"/>
    <n v="545.44000000000005"/>
    <n v="0.19"/>
    <x v="1"/>
    <n v="2"/>
    <n v="5"/>
    <n v="2650.84"/>
  </r>
  <r>
    <n v="10179"/>
    <s v="6/28/2022"/>
    <n v="1768"/>
    <x v="2"/>
    <x v="3"/>
    <n v="7"/>
    <n v="598.63"/>
    <n v="0.19"/>
    <x v="1"/>
    <n v="7"/>
    <n v="1.8"/>
    <n v="3394.23"/>
  </r>
  <r>
    <n v="10180"/>
    <s v="6/29/2022"/>
    <n v="1004"/>
    <x v="3"/>
    <x v="3"/>
    <n v="3"/>
    <n v="111.01"/>
    <n v="0.01"/>
    <x v="1"/>
    <n v="1"/>
    <n v="1.8"/>
    <n v="329.7"/>
  </r>
  <r>
    <n v="10181"/>
    <s v="6/30/2022"/>
    <n v="1217"/>
    <x v="1"/>
    <x v="1"/>
    <n v="5"/>
    <n v="296.85000000000002"/>
    <n v="0.33"/>
    <x v="2"/>
    <n v="6"/>
    <n v="4.2"/>
    <n v="157.11000000000001"/>
  </r>
  <r>
    <n v="10182"/>
    <s v="7/1/2022"/>
    <n v="1502"/>
    <x v="1"/>
    <x v="0"/>
    <n v="7"/>
    <n v="207.89"/>
    <n v="0.1"/>
    <x v="2"/>
    <n v="10"/>
    <n v="2.9"/>
    <n v="1309.71"/>
  </r>
  <r>
    <n v="10183"/>
    <s v="7/2/2022"/>
    <n v="1766"/>
    <x v="3"/>
    <x v="1"/>
    <n v="2"/>
    <n v="285.07"/>
    <n v="0.01"/>
    <x v="2"/>
    <n v="7"/>
    <n v="4.7"/>
    <n v="564.44000000000005"/>
  </r>
  <r>
    <n v="10184"/>
    <s v="7/3/2022"/>
    <n v="1397"/>
    <x v="2"/>
    <x v="1"/>
    <n v="7"/>
    <n v="134.82"/>
    <n v="0.03"/>
    <x v="2"/>
    <n v="4"/>
    <n v="4.0999999999999996"/>
    <n v="915.43"/>
  </r>
  <r>
    <n v="10185"/>
    <s v="7/4/2022"/>
    <n v="1870"/>
    <x v="2"/>
    <x v="2"/>
    <n v="2"/>
    <n v="191.33"/>
    <n v="0.2"/>
    <x v="1"/>
    <n v="11"/>
    <n v="3.9"/>
    <n v="306.13"/>
  </r>
  <r>
    <n v="10186"/>
    <s v="7/5/2022"/>
    <n v="1794"/>
    <x v="0"/>
    <x v="1"/>
    <n v="3"/>
    <n v="132.51"/>
    <n v="0.05"/>
    <x v="2"/>
    <n v="11"/>
    <n v="1.4"/>
    <n v="377.65"/>
  </r>
  <r>
    <n v="10187"/>
    <s v="7/6/2022"/>
    <n v="1392"/>
    <x v="2"/>
    <x v="3"/>
    <n v="6"/>
    <n v="467.94"/>
    <n v="0.01"/>
    <x v="1"/>
    <n v="1"/>
    <n v="1.1000000000000001"/>
    <n v="2779.56"/>
  </r>
  <r>
    <n v="10188"/>
    <s v="7/7/2022"/>
    <n v="1206"/>
    <x v="1"/>
    <x v="3"/>
    <n v="2"/>
    <n v="431.86"/>
    <n v="0.13"/>
    <x v="1"/>
    <n v="6"/>
    <n v="2.2999999999999998"/>
    <n v="751.44"/>
  </r>
  <r>
    <n v="10189"/>
    <s v="7/8/2022"/>
    <n v="1014"/>
    <x v="0"/>
    <x v="3"/>
    <n v="3"/>
    <n v="386.45"/>
    <n v="0.22"/>
    <x v="2"/>
    <n v="4"/>
    <n v="1.9"/>
    <n v="904.29"/>
  </r>
  <r>
    <n v="10190"/>
    <s v="7/9/2022"/>
    <n v="1857"/>
    <x v="3"/>
    <x v="0"/>
    <n v="7"/>
    <n v="241.52"/>
    <n v="0.04"/>
    <x v="0"/>
    <n v="3"/>
    <n v="3.8"/>
    <n v="1623.01"/>
  </r>
  <r>
    <n v="10191"/>
    <s v="7/10/2022"/>
    <n v="1553"/>
    <x v="2"/>
    <x v="3"/>
    <n v="2"/>
    <n v="546.79"/>
    <n v="0.11"/>
    <x v="2"/>
    <n v="4"/>
    <n v="2.8"/>
    <n v="973.29"/>
  </r>
  <r>
    <n v="10192"/>
    <s v="7/11/2022"/>
    <n v="1891"/>
    <x v="2"/>
    <x v="0"/>
    <n v="4"/>
    <n v="582.17999999999995"/>
    <n v="0.15"/>
    <x v="2"/>
    <n v="6"/>
    <n v="3.1"/>
    <n v="1979.41"/>
  </r>
  <r>
    <n v="10193"/>
    <s v="7/12/2022"/>
    <n v="1460"/>
    <x v="2"/>
    <x v="3"/>
    <n v="1"/>
    <n v="116.58"/>
    <n v="0.06"/>
    <x v="1"/>
    <n v="5"/>
    <n v="4.3"/>
    <n v="109.59"/>
  </r>
  <r>
    <n v="10194"/>
    <s v="7/13/2022"/>
    <n v="1690"/>
    <x v="1"/>
    <x v="1"/>
    <n v="7"/>
    <n v="145.46"/>
    <n v="0.18"/>
    <x v="1"/>
    <n v="2"/>
    <n v="2.9"/>
    <n v="834.94"/>
  </r>
  <r>
    <n v="10195"/>
    <s v="7/14/2022"/>
    <n v="1574"/>
    <x v="1"/>
    <x v="2"/>
    <n v="6"/>
    <n v="322.49"/>
    <n v="0.03"/>
    <x v="1"/>
    <n v="2"/>
    <n v="3.2"/>
    <n v="1876.89"/>
  </r>
  <r>
    <n v="10196"/>
    <s v="7/15/2022"/>
    <n v="1863"/>
    <x v="2"/>
    <x v="3"/>
    <n v="7"/>
    <n v="68.38"/>
    <n v="0.02"/>
    <x v="0"/>
    <n v="3"/>
    <n v="4.4000000000000004"/>
    <n v="469.09"/>
  </r>
  <r>
    <n v="10197"/>
    <s v="7/16/2022"/>
    <n v="1742"/>
    <x v="0"/>
    <x v="0"/>
    <n v="4"/>
    <n v="270.32"/>
    <n v="0.18"/>
    <x v="0"/>
    <n v="11"/>
    <n v="2.7"/>
    <n v="886.65"/>
  </r>
  <r>
    <n v="10198"/>
    <s v="7/17/2022"/>
    <n v="1240"/>
    <x v="1"/>
    <x v="0"/>
    <n v="3"/>
    <n v="355.35"/>
    <n v="0.09"/>
    <x v="0"/>
    <n v="6"/>
    <n v="1.3"/>
    <n v="970.11"/>
  </r>
  <r>
    <n v="10199"/>
    <s v="7/18/2022"/>
    <n v="1563"/>
    <x v="2"/>
    <x v="2"/>
    <n v="3"/>
    <n v="320.41000000000003"/>
    <n v="0.03"/>
    <x v="1"/>
    <n v="1"/>
    <n v="3.1"/>
    <n v="932.39"/>
  </r>
  <r>
    <n v="10200"/>
    <s v="7/19/2022"/>
    <n v="1095"/>
    <x v="1"/>
    <x v="3"/>
    <n v="7"/>
    <n v="208.58"/>
    <n v="0.15"/>
    <x v="2"/>
    <n v="11"/>
    <n v="3.3"/>
    <n v="1241.05"/>
  </r>
  <r>
    <n v="10201"/>
    <s v="7/20/2022"/>
    <n v="1899"/>
    <x v="3"/>
    <x v="1"/>
    <n v="4"/>
    <n v="332.33"/>
    <n v="0.32"/>
    <x v="2"/>
    <n v="7"/>
    <n v="3"/>
    <n v="903.94"/>
  </r>
  <r>
    <n v="10202"/>
    <s v="7/21/2022"/>
    <n v="1733"/>
    <x v="2"/>
    <x v="3"/>
    <n v="7"/>
    <n v="575.9"/>
    <n v="0.25"/>
    <x v="2"/>
    <n v="8"/>
    <n v="2"/>
    <n v="3023.48"/>
  </r>
  <r>
    <n v="10203"/>
    <s v="7/22/2022"/>
    <n v="1484"/>
    <x v="2"/>
    <x v="3"/>
    <n v="1"/>
    <n v="135.52000000000001"/>
    <n v="0.28999999999999998"/>
    <x v="2"/>
    <n v="7"/>
    <n v="1.9"/>
    <n v="96.22"/>
  </r>
  <r>
    <n v="10204"/>
    <s v="7/23/2022"/>
    <n v="1406"/>
    <x v="3"/>
    <x v="2"/>
    <n v="1"/>
    <n v="398.08"/>
    <n v="0.31"/>
    <x v="2"/>
    <n v="11"/>
    <n v="2.5"/>
    <n v="274.68"/>
  </r>
  <r>
    <n v="10205"/>
    <s v="7/24/2022"/>
    <n v="1230"/>
    <x v="1"/>
    <x v="3"/>
    <n v="5"/>
    <n v="40.39"/>
    <n v="0.34"/>
    <x v="1"/>
    <n v="3"/>
    <n v="1.7"/>
    <n v="133.29"/>
  </r>
  <r>
    <n v="10206"/>
    <s v="7/25/2022"/>
    <n v="1748"/>
    <x v="1"/>
    <x v="1"/>
    <n v="2"/>
    <n v="53.85"/>
    <n v="0.27"/>
    <x v="1"/>
    <n v="6"/>
    <n v="3.7"/>
    <n v="78.62"/>
  </r>
  <r>
    <n v="10207"/>
    <s v="7/26/2022"/>
    <n v="1654"/>
    <x v="1"/>
    <x v="0"/>
    <n v="5"/>
    <n v="337.82"/>
    <n v="0.21"/>
    <x v="1"/>
    <n v="4"/>
    <n v="3.5"/>
    <n v="1334.39"/>
  </r>
  <r>
    <n v="10208"/>
    <s v="7/27/2022"/>
    <n v="1170"/>
    <x v="2"/>
    <x v="2"/>
    <n v="1"/>
    <n v="76.39"/>
    <n v="0.13"/>
    <x v="1"/>
    <n v="5"/>
    <n v="3.5"/>
    <n v="66.459999999999994"/>
  </r>
  <r>
    <n v="10209"/>
    <s v="7/28/2022"/>
    <n v="1540"/>
    <x v="2"/>
    <x v="1"/>
    <n v="4"/>
    <n v="28.07"/>
    <n v="0.06"/>
    <x v="1"/>
    <n v="3"/>
    <n v="1.9"/>
    <n v="105.54"/>
  </r>
  <r>
    <n v="10210"/>
    <s v="7/29/2022"/>
    <n v="1035"/>
    <x v="1"/>
    <x v="0"/>
    <n v="2"/>
    <n v="115.34"/>
    <n v="0.24"/>
    <x v="1"/>
    <n v="5"/>
    <n v="2"/>
    <n v="175.32"/>
  </r>
  <r>
    <n v="10211"/>
    <s v="7/30/2022"/>
    <n v="1524"/>
    <x v="2"/>
    <x v="2"/>
    <n v="4"/>
    <n v="345.44"/>
    <n v="0.35"/>
    <x v="1"/>
    <n v="6"/>
    <n v="4.0999999999999996"/>
    <n v="898.14"/>
  </r>
  <r>
    <n v="10212"/>
    <s v="7/31/2022"/>
    <n v="1159"/>
    <x v="2"/>
    <x v="2"/>
    <n v="5"/>
    <n v="426.45"/>
    <n v="0.16"/>
    <x v="2"/>
    <n v="8"/>
    <n v="3.8"/>
    <n v="1791.09"/>
  </r>
  <r>
    <n v="10213"/>
    <s v="8/1/2022"/>
    <n v="1838"/>
    <x v="3"/>
    <x v="0"/>
    <n v="3"/>
    <n v="133.44999999999999"/>
    <n v="0.25"/>
    <x v="0"/>
    <n v="6"/>
    <n v="4.5"/>
    <n v="300.26"/>
  </r>
  <r>
    <n v="10214"/>
    <s v="8/2/2022"/>
    <n v="1698"/>
    <x v="0"/>
    <x v="0"/>
    <n v="4"/>
    <n v="405.93"/>
    <n v="0.17"/>
    <x v="0"/>
    <n v="9"/>
    <n v="2.6"/>
    <n v="1347.69"/>
  </r>
  <r>
    <n v="10215"/>
    <s v="8/3/2022"/>
    <n v="1242"/>
    <x v="3"/>
    <x v="1"/>
    <n v="5"/>
    <n v="121.75"/>
    <n v="0.15"/>
    <x v="1"/>
    <n v="10"/>
    <n v="3.2"/>
    <n v="517.44000000000005"/>
  </r>
  <r>
    <n v="10216"/>
    <s v="8/4/2022"/>
    <n v="1085"/>
    <x v="0"/>
    <x v="3"/>
    <n v="5"/>
    <n v="373.87"/>
    <n v="0.14000000000000001"/>
    <x v="1"/>
    <n v="10"/>
    <n v="4"/>
    <n v="1607.64"/>
  </r>
  <r>
    <n v="10217"/>
    <s v="8/5/2022"/>
    <n v="1795"/>
    <x v="2"/>
    <x v="3"/>
    <n v="5"/>
    <n v="256"/>
    <n v="0.18"/>
    <x v="1"/>
    <n v="10"/>
    <n v="4.9000000000000004"/>
    <n v="1049.5999999999999"/>
  </r>
  <r>
    <n v="10218"/>
    <s v="8/6/2022"/>
    <n v="1577"/>
    <x v="0"/>
    <x v="3"/>
    <n v="3"/>
    <n v="397.47"/>
    <n v="0.13"/>
    <x v="0"/>
    <n v="10"/>
    <n v="5"/>
    <n v="1037.4000000000001"/>
  </r>
  <r>
    <n v="10219"/>
    <s v="8/7/2022"/>
    <n v="1681"/>
    <x v="2"/>
    <x v="3"/>
    <n v="3"/>
    <n v="597.11"/>
    <n v="0.26"/>
    <x v="2"/>
    <n v="4"/>
    <n v="5"/>
    <n v="1325.58"/>
  </r>
  <r>
    <n v="10220"/>
    <s v="8/8/2022"/>
    <n v="1556"/>
    <x v="0"/>
    <x v="3"/>
    <n v="7"/>
    <n v="563.62"/>
    <n v="0.31"/>
    <x v="1"/>
    <n v="2"/>
    <n v="4.5999999999999996"/>
    <n v="2722.28"/>
  </r>
  <r>
    <n v="10221"/>
    <s v="8/9/2022"/>
    <n v="1573"/>
    <x v="0"/>
    <x v="1"/>
    <n v="3"/>
    <n v="17.5"/>
    <n v="0.31"/>
    <x v="0"/>
    <n v="9"/>
    <n v="3.6"/>
    <n v="36.22"/>
  </r>
  <r>
    <n v="10222"/>
    <s v="8/10/2022"/>
    <n v="1952"/>
    <x v="3"/>
    <x v="2"/>
    <n v="2"/>
    <n v="532.98"/>
    <n v="0.08"/>
    <x v="1"/>
    <n v="11"/>
    <n v="1"/>
    <n v="980.68"/>
  </r>
  <r>
    <n v="10223"/>
    <s v="8/11/2022"/>
    <n v="1645"/>
    <x v="0"/>
    <x v="1"/>
    <n v="3"/>
    <n v="53.9"/>
    <n v="0.31"/>
    <x v="0"/>
    <n v="3"/>
    <n v="3.8"/>
    <n v="111.57"/>
  </r>
  <r>
    <n v="10224"/>
    <s v="8/12/2022"/>
    <n v="1795"/>
    <x v="1"/>
    <x v="1"/>
    <n v="3"/>
    <n v="572.53"/>
    <n v="0.12"/>
    <x v="1"/>
    <n v="11"/>
    <n v="2"/>
    <n v="1511.48"/>
  </r>
  <r>
    <n v="10225"/>
    <s v="8/13/2022"/>
    <n v="1027"/>
    <x v="2"/>
    <x v="1"/>
    <n v="3"/>
    <n v="179.87"/>
    <n v="0.11"/>
    <x v="1"/>
    <n v="7"/>
    <n v="1.2"/>
    <n v="480.25"/>
  </r>
  <r>
    <n v="10226"/>
    <s v="8/14/2022"/>
    <n v="1619"/>
    <x v="1"/>
    <x v="2"/>
    <n v="4"/>
    <n v="238.49"/>
    <n v="0.25"/>
    <x v="2"/>
    <n v="4"/>
    <n v="3.8"/>
    <n v="715.47"/>
  </r>
  <r>
    <n v="10227"/>
    <s v="8/15/2022"/>
    <n v="1555"/>
    <x v="1"/>
    <x v="1"/>
    <n v="3"/>
    <n v="68.61"/>
    <n v="0.11"/>
    <x v="0"/>
    <n v="1"/>
    <n v="4"/>
    <n v="183.19"/>
  </r>
  <r>
    <n v="10228"/>
    <s v="8/16/2022"/>
    <n v="1339"/>
    <x v="2"/>
    <x v="1"/>
    <n v="2"/>
    <n v="80.680000000000007"/>
    <n v="0.02"/>
    <x v="0"/>
    <n v="8"/>
    <n v="3.6"/>
    <n v="158.13"/>
  </r>
  <r>
    <n v="10229"/>
    <s v="8/17/2022"/>
    <n v="1797"/>
    <x v="1"/>
    <x v="2"/>
    <n v="5"/>
    <n v="440.14"/>
    <n v="0.13"/>
    <x v="2"/>
    <n v="4"/>
    <n v="2.5"/>
    <n v="1914.61"/>
  </r>
  <r>
    <n v="10230"/>
    <s v="8/18/2022"/>
    <n v="1957"/>
    <x v="0"/>
    <x v="1"/>
    <n v="4"/>
    <n v="567.42999999999995"/>
    <n v="0.25"/>
    <x v="1"/>
    <n v="11"/>
    <n v="3"/>
    <n v="1702.29"/>
  </r>
  <r>
    <n v="10231"/>
    <s v="8/19/2022"/>
    <n v="1330"/>
    <x v="2"/>
    <x v="3"/>
    <n v="1"/>
    <n v="372.29"/>
    <n v="0.11"/>
    <x v="1"/>
    <n v="6"/>
    <n v="4.7"/>
    <n v="331.34"/>
  </r>
  <r>
    <n v="10232"/>
    <s v="8/20/2022"/>
    <n v="1639"/>
    <x v="3"/>
    <x v="0"/>
    <n v="3"/>
    <n v="433.77"/>
    <n v="0.22"/>
    <x v="0"/>
    <n v="7"/>
    <n v="3.9"/>
    <n v="1015.02"/>
  </r>
  <r>
    <n v="10233"/>
    <s v="8/21/2022"/>
    <n v="1505"/>
    <x v="0"/>
    <x v="1"/>
    <n v="7"/>
    <n v="460.75"/>
    <n v="0.23"/>
    <x v="2"/>
    <n v="8"/>
    <n v="3"/>
    <n v="2483.44"/>
  </r>
  <r>
    <n v="10234"/>
    <s v="8/22/2022"/>
    <n v="1347"/>
    <x v="0"/>
    <x v="0"/>
    <n v="7"/>
    <n v="168.75"/>
    <n v="0.26"/>
    <x v="2"/>
    <n v="10"/>
    <n v="3.4"/>
    <n v="874.12"/>
  </r>
  <r>
    <n v="10235"/>
    <s v="8/23/2022"/>
    <n v="1472"/>
    <x v="0"/>
    <x v="1"/>
    <n v="5"/>
    <n v="41.46"/>
    <n v="0.31"/>
    <x v="1"/>
    <n v="2"/>
    <n v="4.7"/>
    <n v="143.04"/>
  </r>
  <r>
    <n v="10236"/>
    <s v="8/24/2022"/>
    <n v="1230"/>
    <x v="1"/>
    <x v="1"/>
    <n v="5"/>
    <n v="16.100000000000001"/>
    <n v="0.15"/>
    <x v="2"/>
    <n v="9"/>
    <n v="2.6"/>
    <n v="68.42"/>
  </r>
  <r>
    <n v="10237"/>
    <s v="8/25/2022"/>
    <n v="1189"/>
    <x v="0"/>
    <x v="3"/>
    <n v="4"/>
    <n v="220.13"/>
    <n v="0.06"/>
    <x v="1"/>
    <n v="10"/>
    <n v="1.4"/>
    <n v="827.69"/>
  </r>
  <r>
    <n v="10238"/>
    <s v="8/26/2022"/>
    <n v="1224"/>
    <x v="3"/>
    <x v="2"/>
    <n v="7"/>
    <n v="156.26"/>
    <n v="0.11"/>
    <x v="2"/>
    <n v="3"/>
    <n v="2.2999999999999998"/>
    <n v="973.5"/>
  </r>
  <r>
    <n v="10239"/>
    <s v="8/27/2022"/>
    <n v="1384"/>
    <x v="2"/>
    <x v="0"/>
    <n v="1"/>
    <n v="51.46"/>
    <n v="0.15"/>
    <x v="0"/>
    <n v="1"/>
    <n v="2.7"/>
    <n v="43.74"/>
  </r>
  <r>
    <n v="10240"/>
    <s v="8/28/2022"/>
    <n v="1376"/>
    <x v="1"/>
    <x v="2"/>
    <n v="6"/>
    <n v="120.02"/>
    <n v="0.25"/>
    <x v="2"/>
    <n v="2"/>
    <n v="2.1"/>
    <n v="540.09"/>
  </r>
  <r>
    <n v="10241"/>
    <s v="8/29/2022"/>
    <n v="1282"/>
    <x v="3"/>
    <x v="3"/>
    <n v="7"/>
    <n v="87.83"/>
    <n v="0"/>
    <x v="2"/>
    <n v="8"/>
    <n v="3.1"/>
    <n v="614.80999999999995"/>
  </r>
  <r>
    <n v="10242"/>
    <s v="8/30/2022"/>
    <n v="1957"/>
    <x v="2"/>
    <x v="3"/>
    <n v="7"/>
    <n v="550.20000000000005"/>
    <n v="0.11"/>
    <x v="1"/>
    <n v="10"/>
    <n v="2.2000000000000002"/>
    <n v="3427.75"/>
  </r>
  <r>
    <n v="10243"/>
    <s v="8/31/2022"/>
    <n v="1632"/>
    <x v="1"/>
    <x v="0"/>
    <n v="2"/>
    <n v="97.06"/>
    <n v="0.27"/>
    <x v="1"/>
    <n v="6"/>
    <n v="1.4"/>
    <n v="141.71"/>
  </r>
  <r>
    <n v="10244"/>
    <s v="9/1/2022"/>
    <n v="1627"/>
    <x v="3"/>
    <x v="2"/>
    <n v="6"/>
    <n v="329.52"/>
    <n v="0.23"/>
    <x v="0"/>
    <n v="11"/>
    <n v="1.8"/>
    <n v="1522.38"/>
  </r>
  <r>
    <n v="10245"/>
    <s v="9/2/2022"/>
    <n v="1972"/>
    <x v="2"/>
    <x v="3"/>
    <n v="5"/>
    <n v="361.97"/>
    <n v="0.26"/>
    <x v="1"/>
    <n v="1"/>
    <n v="4.7"/>
    <n v="1339.29"/>
  </r>
  <r>
    <n v="10246"/>
    <s v="9/3/2022"/>
    <n v="1744"/>
    <x v="1"/>
    <x v="1"/>
    <n v="6"/>
    <n v="332.94"/>
    <n v="0.28000000000000003"/>
    <x v="0"/>
    <n v="11"/>
    <n v="3.5"/>
    <n v="1438.3"/>
  </r>
  <r>
    <n v="10247"/>
    <s v="9/4/2022"/>
    <n v="1258"/>
    <x v="3"/>
    <x v="1"/>
    <n v="7"/>
    <n v="72.95"/>
    <n v="0.27"/>
    <x v="2"/>
    <n v="9"/>
    <n v="2.2999999999999998"/>
    <n v="372.77"/>
  </r>
  <r>
    <n v="10248"/>
    <s v="9/5/2022"/>
    <n v="1358"/>
    <x v="1"/>
    <x v="1"/>
    <n v="5"/>
    <n v="201.5"/>
    <n v="0.24"/>
    <x v="2"/>
    <n v="7"/>
    <n v="2.5"/>
    <n v="765.7"/>
  </r>
  <r>
    <n v="10249"/>
    <s v="9/6/2022"/>
    <n v="1709"/>
    <x v="2"/>
    <x v="2"/>
    <n v="6"/>
    <n v="44.99"/>
    <n v="0.15"/>
    <x v="0"/>
    <n v="10"/>
    <n v="3"/>
    <n v="229.45"/>
  </r>
  <r>
    <n v="10250"/>
    <s v="9/7/2022"/>
    <n v="1455"/>
    <x v="2"/>
    <x v="1"/>
    <n v="5"/>
    <n v="246.47"/>
    <n v="0.34"/>
    <x v="2"/>
    <n v="11"/>
    <n v="3.7"/>
    <n v="813.35"/>
  </r>
  <r>
    <n v="10251"/>
    <s v="9/8/2022"/>
    <n v="1410"/>
    <x v="1"/>
    <x v="1"/>
    <n v="5"/>
    <n v="125.33"/>
    <n v="0.2"/>
    <x v="0"/>
    <n v="3"/>
    <n v="3.3"/>
    <n v="800.84"/>
  </r>
  <r>
    <n v="10252"/>
    <s v="9/9/2022"/>
    <n v="1648"/>
    <x v="0"/>
    <x v="3"/>
    <n v="4"/>
    <n v="343.56"/>
    <n v="7.0000000000000007E-2"/>
    <x v="1"/>
    <n v="7"/>
    <n v="4.7"/>
    <n v="1278.04"/>
  </r>
  <r>
    <n v="10253"/>
    <s v="9/10/2022"/>
    <n v="1317"/>
    <x v="2"/>
    <x v="3"/>
    <n v="1"/>
    <n v="420.29"/>
    <n v="0.1"/>
    <x v="2"/>
    <n v="6"/>
    <n v="3.5"/>
    <n v="378.26"/>
  </r>
  <r>
    <n v="10254"/>
    <s v="9/11/2022"/>
    <n v="1676"/>
    <x v="1"/>
    <x v="1"/>
    <n v="5"/>
    <n v="326.29000000000002"/>
    <n v="0.24"/>
    <x v="2"/>
    <n v="3"/>
    <n v="4.5999999999999996"/>
    <n v="1239.9000000000001"/>
  </r>
  <r>
    <n v="10255"/>
    <s v="9/12/2022"/>
    <n v="1224"/>
    <x v="2"/>
    <x v="1"/>
    <n v="2"/>
    <n v="269.02999999999997"/>
    <n v="0.32"/>
    <x v="1"/>
    <n v="8"/>
    <n v="1"/>
    <n v="365.88"/>
  </r>
  <r>
    <n v="10256"/>
    <s v="9/13/2022"/>
    <n v="1818"/>
    <x v="2"/>
    <x v="3"/>
    <n v="7"/>
    <n v="241.59"/>
    <n v="0.06"/>
    <x v="2"/>
    <n v="1"/>
    <n v="4.5999999999999996"/>
    <n v="1589.66"/>
  </r>
  <r>
    <n v="10257"/>
    <s v="9/14/2022"/>
    <n v="1233"/>
    <x v="3"/>
    <x v="0"/>
    <n v="7"/>
    <n v="507.39"/>
    <n v="0.03"/>
    <x v="2"/>
    <n v="5"/>
    <n v="3.9"/>
    <n v="3445.18"/>
  </r>
  <r>
    <n v="10258"/>
    <s v="9/15/2022"/>
    <n v="1683"/>
    <x v="3"/>
    <x v="2"/>
    <n v="2"/>
    <n v="143.33000000000001"/>
    <n v="0.31"/>
    <x v="0"/>
    <n v="8"/>
    <n v="1.7"/>
    <n v="197.8"/>
  </r>
  <r>
    <n v="10259"/>
    <s v="9/16/2022"/>
    <n v="1663"/>
    <x v="2"/>
    <x v="2"/>
    <n v="3"/>
    <n v="444.52"/>
    <n v="0.32"/>
    <x v="1"/>
    <n v="3"/>
    <n v="2.1"/>
    <n v="906.82"/>
  </r>
  <r>
    <n v="10260"/>
    <s v="9/17/2022"/>
    <n v="1974"/>
    <x v="1"/>
    <x v="3"/>
    <n v="5"/>
    <n v="458.13"/>
    <n v="0.1"/>
    <x v="2"/>
    <n v="11"/>
    <n v="3.2"/>
    <n v="2061.58"/>
  </r>
  <r>
    <n v="10261"/>
    <s v="9/18/2022"/>
    <n v="1826"/>
    <x v="2"/>
    <x v="2"/>
    <n v="5"/>
    <n v="260.23"/>
    <n v="0.13"/>
    <x v="1"/>
    <n v="10"/>
    <n v="1.5"/>
    <n v="1132"/>
  </r>
  <r>
    <n v="10262"/>
    <s v="9/19/2022"/>
    <n v="1373"/>
    <x v="1"/>
    <x v="3"/>
    <n v="5"/>
    <n v="188.92"/>
    <n v="0.23"/>
    <x v="2"/>
    <n v="11"/>
    <n v="4.0999999999999996"/>
    <n v="727.34"/>
  </r>
  <r>
    <n v="10263"/>
    <s v="9/20/2022"/>
    <n v="1671"/>
    <x v="3"/>
    <x v="3"/>
    <n v="6"/>
    <n v="290.27"/>
    <n v="0.12"/>
    <x v="2"/>
    <n v="6"/>
    <n v="4.2"/>
    <n v="1532.63"/>
  </r>
  <r>
    <n v="10264"/>
    <s v="9/21/2022"/>
    <n v="1607"/>
    <x v="2"/>
    <x v="3"/>
    <n v="5"/>
    <n v="69.53"/>
    <n v="0.31"/>
    <x v="2"/>
    <n v="10"/>
    <n v="2.2000000000000002"/>
    <n v="239.88"/>
  </r>
  <r>
    <n v="10265"/>
    <s v="9/22/2022"/>
    <n v="1471"/>
    <x v="2"/>
    <x v="3"/>
    <n v="5"/>
    <n v="41.87"/>
    <n v="0.04"/>
    <x v="1"/>
    <n v="11"/>
    <n v="1.3"/>
    <n v="200.98"/>
  </r>
  <r>
    <n v="10266"/>
    <s v="9/23/2022"/>
    <n v="1232"/>
    <x v="1"/>
    <x v="0"/>
    <n v="2"/>
    <n v="80.290000000000006"/>
    <n v="0.01"/>
    <x v="1"/>
    <n v="2"/>
    <n v="5"/>
    <n v="158.97"/>
  </r>
  <r>
    <n v="10267"/>
    <s v="9/24/2022"/>
    <n v="1691"/>
    <x v="0"/>
    <x v="1"/>
    <n v="1"/>
    <n v="124.48"/>
    <n v="7.0000000000000007E-2"/>
    <x v="1"/>
    <n v="9"/>
    <n v="2"/>
    <n v="115.77"/>
  </r>
  <r>
    <n v="10268"/>
    <s v="9/25/2022"/>
    <n v="1112"/>
    <x v="0"/>
    <x v="1"/>
    <n v="1"/>
    <n v="309.94"/>
    <n v="0.1"/>
    <x v="1"/>
    <n v="2"/>
    <n v="1.3"/>
    <n v="278.95"/>
  </r>
  <r>
    <n v="10269"/>
    <s v="9/26/2022"/>
    <n v="1829"/>
    <x v="2"/>
    <x v="0"/>
    <n v="3"/>
    <n v="511.74"/>
    <n v="0.04"/>
    <x v="2"/>
    <n v="5"/>
    <n v="2.2999999999999998"/>
    <n v="1473.81"/>
  </r>
  <r>
    <n v="10270"/>
    <s v="9/27/2022"/>
    <n v="1496"/>
    <x v="3"/>
    <x v="2"/>
    <n v="2"/>
    <n v="152.85"/>
    <n v="0.02"/>
    <x v="0"/>
    <n v="3"/>
    <n v="4.9000000000000004"/>
    <n v="299.58999999999997"/>
  </r>
  <r>
    <n v="10271"/>
    <s v="9/28/2022"/>
    <n v="1441"/>
    <x v="1"/>
    <x v="2"/>
    <n v="5"/>
    <n v="562.07000000000005"/>
    <n v="0.26"/>
    <x v="1"/>
    <n v="10"/>
    <n v="4.2"/>
    <n v="2079.66"/>
  </r>
  <r>
    <n v="10272"/>
    <s v="9/29/2022"/>
    <n v="1563"/>
    <x v="1"/>
    <x v="1"/>
    <n v="1"/>
    <n v="573.62"/>
    <n v="0.06"/>
    <x v="1"/>
    <n v="9"/>
    <n v="2.9"/>
    <n v="539.20000000000005"/>
  </r>
  <r>
    <n v="10273"/>
    <s v="9/30/2022"/>
    <n v="1267"/>
    <x v="3"/>
    <x v="2"/>
    <n v="4"/>
    <n v="575.96"/>
    <n v="0.32"/>
    <x v="2"/>
    <n v="9"/>
    <n v="2.2000000000000002"/>
    <n v="1566.61"/>
  </r>
  <r>
    <n v="10274"/>
    <s v="10/1/2022"/>
    <n v="1509"/>
    <x v="0"/>
    <x v="1"/>
    <n v="4"/>
    <n v="504.97"/>
    <n v="0.13"/>
    <x v="2"/>
    <n v="7"/>
    <n v="2.7"/>
    <n v="1757.3"/>
  </r>
  <r>
    <n v="10275"/>
    <s v="10/2/2022"/>
    <n v="1806"/>
    <x v="0"/>
    <x v="1"/>
    <n v="4"/>
    <n v="227.84"/>
    <n v="0.23"/>
    <x v="1"/>
    <n v="10"/>
    <n v="1.1000000000000001"/>
    <n v="701.75"/>
  </r>
  <r>
    <n v="10276"/>
    <s v="10/3/2022"/>
    <n v="1385"/>
    <x v="1"/>
    <x v="0"/>
    <n v="5"/>
    <n v="57.52"/>
    <n v="0.08"/>
    <x v="1"/>
    <n v="5"/>
    <n v="3.9"/>
    <n v="264.58999999999997"/>
  </r>
  <r>
    <n v="10277"/>
    <s v="10/4/2022"/>
    <n v="1386"/>
    <x v="1"/>
    <x v="2"/>
    <n v="5"/>
    <n v="347.76"/>
    <n v="0.08"/>
    <x v="1"/>
    <n v="9"/>
    <n v="1.4"/>
    <n v="1599.7"/>
  </r>
  <r>
    <n v="10278"/>
    <s v="10/5/2022"/>
    <n v="1112"/>
    <x v="3"/>
    <x v="0"/>
    <n v="3"/>
    <n v="341.83"/>
    <n v="0.2"/>
    <x v="1"/>
    <n v="7"/>
    <n v="3.1"/>
    <n v="820.39"/>
  </r>
  <r>
    <n v="10279"/>
    <s v="10/6/2022"/>
    <n v="1612"/>
    <x v="2"/>
    <x v="1"/>
    <n v="7"/>
    <n v="512.24"/>
    <n v="0.2"/>
    <x v="1"/>
    <n v="2"/>
    <n v="3.3"/>
    <n v="2868.54"/>
  </r>
  <r>
    <n v="10280"/>
    <s v="10/7/2022"/>
    <n v="1624"/>
    <x v="1"/>
    <x v="1"/>
    <n v="3"/>
    <n v="597.65"/>
    <n v="0.27"/>
    <x v="1"/>
    <n v="10"/>
    <n v="1"/>
    <n v="1308.8499999999999"/>
  </r>
  <r>
    <n v="10281"/>
    <s v="10/8/2022"/>
    <n v="1951"/>
    <x v="1"/>
    <x v="1"/>
    <n v="3"/>
    <n v="312.27"/>
    <n v="0.27"/>
    <x v="2"/>
    <n v="1"/>
    <n v="4.9000000000000004"/>
    <n v="683.87"/>
  </r>
  <r>
    <n v="10282"/>
    <s v="10/9/2022"/>
    <n v="1080"/>
    <x v="3"/>
    <x v="3"/>
    <n v="6"/>
    <n v="216.94"/>
    <n v="0.23"/>
    <x v="2"/>
    <n v="10"/>
    <n v="2.2000000000000002"/>
    <n v="1002.26"/>
  </r>
  <r>
    <n v="10283"/>
    <s v="10/10/2022"/>
    <n v="1698"/>
    <x v="2"/>
    <x v="3"/>
    <n v="4"/>
    <n v="123.75"/>
    <n v="0.16"/>
    <x v="1"/>
    <n v="10"/>
    <n v="1.3"/>
    <n v="415.8"/>
  </r>
  <r>
    <n v="10284"/>
    <s v="10/11/2022"/>
    <n v="1112"/>
    <x v="2"/>
    <x v="3"/>
    <n v="5"/>
    <n v="17.809999999999999"/>
    <n v="0.31"/>
    <x v="2"/>
    <n v="4"/>
    <n v="4.4000000000000004"/>
    <n v="61.44"/>
  </r>
  <r>
    <n v="10285"/>
    <s v="10/12/2022"/>
    <n v="1001"/>
    <x v="0"/>
    <x v="0"/>
    <n v="4"/>
    <n v="312.83"/>
    <n v="0.22"/>
    <x v="2"/>
    <n v="10"/>
    <n v="1.6"/>
    <n v="976.03"/>
  </r>
  <r>
    <n v="10286"/>
    <s v="10/13/2022"/>
    <n v="1641"/>
    <x v="2"/>
    <x v="1"/>
    <n v="3"/>
    <n v="339.98"/>
    <n v="0.35"/>
    <x v="0"/>
    <n v="8"/>
    <n v="1.1000000000000001"/>
    <n v="662.96"/>
  </r>
  <r>
    <n v="10287"/>
    <s v="10/14/2022"/>
    <n v="1219"/>
    <x v="1"/>
    <x v="2"/>
    <n v="5"/>
    <n v="497.59"/>
    <n v="0.28999999999999998"/>
    <x v="1"/>
    <n v="6"/>
    <n v="3"/>
    <n v="1766.44"/>
  </r>
  <r>
    <n v="10288"/>
    <s v="10/15/2022"/>
    <n v="1565"/>
    <x v="2"/>
    <x v="0"/>
    <n v="2"/>
    <n v="310.18"/>
    <n v="0.02"/>
    <x v="2"/>
    <n v="2"/>
    <n v="1.5"/>
    <n v="607.95000000000005"/>
  </r>
  <r>
    <n v="10289"/>
    <s v="10/16/2022"/>
    <n v="1854"/>
    <x v="2"/>
    <x v="0"/>
    <n v="1"/>
    <n v="551.13"/>
    <n v="0.11"/>
    <x v="2"/>
    <n v="5"/>
    <n v="4.9000000000000004"/>
    <n v="490.51"/>
  </r>
  <r>
    <n v="10290"/>
    <s v="10/17/2022"/>
    <n v="1996"/>
    <x v="2"/>
    <x v="0"/>
    <n v="1"/>
    <n v="382.43"/>
    <n v="0.2"/>
    <x v="1"/>
    <n v="9"/>
    <n v="1"/>
    <n v="305.94"/>
  </r>
  <r>
    <n v="10291"/>
    <s v="10/18/2022"/>
    <n v="1735"/>
    <x v="2"/>
    <x v="2"/>
    <n v="3"/>
    <n v="506.6"/>
    <n v="0.25"/>
    <x v="0"/>
    <n v="6"/>
    <n v="1.2"/>
    <n v="1139.8499999999999"/>
  </r>
  <r>
    <n v="10292"/>
    <s v="10/19/2022"/>
    <n v="1224"/>
    <x v="0"/>
    <x v="1"/>
    <n v="7"/>
    <n v="101.76"/>
    <n v="0.19"/>
    <x v="2"/>
    <n v="6"/>
    <n v="4.3"/>
    <n v="576.98"/>
  </r>
  <r>
    <n v="10293"/>
    <s v="10/20/2022"/>
    <n v="1384"/>
    <x v="2"/>
    <x v="3"/>
    <n v="4"/>
    <n v="515.37"/>
    <n v="0.28000000000000003"/>
    <x v="2"/>
    <n v="7"/>
    <n v="2"/>
    <n v="1484.27"/>
  </r>
  <r>
    <n v="10294"/>
    <s v="10/21/2022"/>
    <n v="1402"/>
    <x v="0"/>
    <x v="1"/>
    <n v="2"/>
    <n v="409.96"/>
    <n v="0.1"/>
    <x v="1"/>
    <n v="11"/>
    <n v="4.5999999999999996"/>
    <n v="737.93"/>
  </r>
  <r>
    <n v="10295"/>
    <s v="10/22/2022"/>
    <n v="1637"/>
    <x v="1"/>
    <x v="1"/>
    <n v="5"/>
    <n v="114.59"/>
    <n v="0.06"/>
    <x v="1"/>
    <n v="5"/>
    <n v="2.2000000000000002"/>
    <n v="538.57000000000005"/>
  </r>
  <r>
    <n v="10296"/>
    <s v="10/23/2022"/>
    <n v="1129"/>
    <x v="1"/>
    <x v="0"/>
    <n v="7"/>
    <n v="126.01"/>
    <n v="0.02"/>
    <x v="2"/>
    <n v="3"/>
    <n v="1.3"/>
    <n v="864.43"/>
  </r>
  <r>
    <n v="10297"/>
    <s v="10/24/2022"/>
    <n v="1052"/>
    <x v="1"/>
    <x v="0"/>
    <n v="4"/>
    <n v="557"/>
    <n v="0.2"/>
    <x v="1"/>
    <n v="3"/>
    <n v="1"/>
    <n v="1782.4"/>
  </r>
  <r>
    <n v="10298"/>
    <s v="10/25/2022"/>
    <n v="1683"/>
    <x v="1"/>
    <x v="0"/>
    <n v="3"/>
    <n v="33.85"/>
    <n v="0.24"/>
    <x v="2"/>
    <n v="5"/>
    <n v="2.1"/>
    <n v="77.180000000000007"/>
  </r>
  <r>
    <n v="10299"/>
    <s v="10/26/2022"/>
    <n v="1729"/>
    <x v="3"/>
    <x v="3"/>
    <n v="4"/>
    <n v="285.58"/>
    <n v="0.11"/>
    <x v="1"/>
    <n v="4"/>
    <n v="2.9"/>
    <n v="1016.66"/>
  </r>
  <r>
    <n v="10300"/>
    <s v="10/27/2022"/>
    <n v="1671"/>
    <x v="2"/>
    <x v="3"/>
    <n v="3"/>
    <n v="198.38"/>
    <n v="0.21"/>
    <x v="2"/>
    <n v="5"/>
    <n v="1"/>
    <n v="470.16"/>
  </r>
  <r>
    <n v="10301"/>
    <d v="2022-10-28T00:00:00"/>
    <n v="1709"/>
    <x v="1"/>
    <x v="3"/>
    <n v="6"/>
    <n v="404.07"/>
    <n v="0.02"/>
    <x v="2"/>
    <n v="9"/>
    <n v="3.3"/>
    <n v="2375.9299999999998"/>
  </r>
  <r>
    <n v="10302"/>
    <s v="10/29/2022"/>
    <n v="1415"/>
    <x v="0"/>
    <x v="1"/>
    <n v="1"/>
    <n v="506.18"/>
    <n v="0.03"/>
    <x v="1"/>
    <n v="5"/>
    <n v="2.2999999999999998"/>
    <n v="490.99"/>
  </r>
  <r>
    <n v="10303"/>
    <s v="10/30/2022"/>
    <n v="1246"/>
    <x v="0"/>
    <x v="0"/>
    <n v="7"/>
    <n v="225.82"/>
    <n v="0.25"/>
    <x v="2"/>
    <n v="4"/>
    <n v="2.6"/>
    <n v="1185.56"/>
  </r>
  <r>
    <n v="10304"/>
    <s v="10/31/2022"/>
    <n v="1835"/>
    <x v="0"/>
    <x v="2"/>
    <n v="1"/>
    <n v="264.74"/>
    <n v="0.13"/>
    <x v="1"/>
    <n v="4"/>
    <n v="2"/>
    <n v="230.32"/>
  </r>
  <r>
    <n v="10305"/>
    <s v="11/1/2022"/>
    <n v="1438"/>
    <x v="1"/>
    <x v="1"/>
    <n v="4"/>
    <n v="589.41999999999996"/>
    <n v="0.23"/>
    <x v="1"/>
    <n v="1"/>
    <n v="3.1"/>
    <n v="1815.41"/>
  </r>
  <r>
    <n v="10306"/>
    <s v="11/2/2022"/>
    <n v="1202"/>
    <x v="3"/>
    <x v="3"/>
    <n v="2"/>
    <n v="473.59"/>
    <n v="0.28999999999999998"/>
    <x v="1"/>
    <n v="10"/>
    <n v="1.9"/>
    <n v="672.5"/>
  </r>
  <r>
    <n v="10307"/>
    <s v="11/3/2022"/>
    <n v="1183"/>
    <x v="1"/>
    <x v="2"/>
    <n v="5"/>
    <n v="539.86"/>
    <n v="0.3"/>
    <x v="1"/>
    <n v="4"/>
    <n v="1.5"/>
    <n v="1889.51"/>
  </r>
  <r>
    <n v="10308"/>
    <s v="11/4/2022"/>
    <n v="1122"/>
    <x v="1"/>
    <x v="2"/>
    <n v="3"/>
    <n v="271.68"/>
    <n v="0.06"/>
    <x v="1"/>
    <n v="4"/>
    <n v="4.5999999999999996"/>
    <n v="766.14"/>
  </r>
  <r>
    <n v="10309"/>
    <s v="11/5/2022"/>
    <n v="1400"/>
    <x v="2"/>
    <x v="0"/>
    <n v="5"/>
    <n v="151.93"/>
    <n v="0.17"/>
    <x v="0"/>
    <n v="9"/>
    <n v="2.6"/>
    <n v="630.51"/>
  </r>
  <r>
    <n v="10310"/>
    <s v="11/6/2022"/>
    <n v="1766"/>
    <x v="1"/>
    <x v="2"/>
    <n v="1"/>
    <n v="255.94"/>
    <n v="0.26"/>
    <x v="1"/>
    <n v="11"/>
    <n v="1.3"/>
    <n v="189.4"/>
  </r>
  <r>
    <n v="10311"/>
    <s v="11/7/2022"/>
    <n v="1293"/>
    <x v="2"/>
    <x v="3"/>
    <n v="2"/>
    <n v="433.91"/>
    <n v="0.27"/>
    <x v="1"/>
    <n v="4"/>
    <n v="1.9"/>
    <n v="633.51"/>
  </r>
  <r>
    <n v="10312"/>
    <s v="11/8/2022"/>
    <n v="1279"/>
    <x v="2"/>
    <x v="0"/>
    <n v="2"/>
    <n v="79.02"/>
    <n v="0.27"/>
    <x v="1"/>
    <n v="7"/>
    <n v="2.2000000000000002"/>
    <n v="115.37"/>
  </r>
  <r>
    <n v="10313"/>
    <s v="11/9/2022"/>
    <n v="1836"/>
    <x v="0"/>
    <x v="2"/>
    <n v="5"/>
    <n v="173.22"/>
    <n v="0.08"/>
    <x v="1"/>
    <n v="1"/>
    <n v="4.0999999999999996"/>
    <n v="796.81"/>
  </r>
  <r>
    <n v="10314"/>
    <s v="11/10/2022"/>
    <n v="1883"/>
    <x v="2"/>
    <x v="0"/>
    <n v="1"/>
    <n v="42.28"/>
    <n v="7.0000000000000007E-2"/>
    <x v="2"/>
    <n v="7"/>
    <n v="1.1000000000000001"/>
    <n v="39.32"/>
  </r>
  <r>
    <n v="10315"/>
    <s v="11/11/2022"/>
    <n v="1609"/>
    <x v="2"/>
    <x v="2"/>
    <n v="5"/>
    <n v="267.92"/>
    <n v="0.21"/>
    <x v="1"/>
    <n v="2"/>
    <n v="2.9"/>
    <n v="1058.28"/>
  </r>
  <r>
    <n v="10316"/>
    <s v="11/12/2022"/>
    <n v="1197"/>
    <x v="2"/>
    <x v="1"/>
    <n v="4"/>
    <n v="499.06"/>
    <n v="0.26"/>
    <x v="2"/>
    <n v="11"/>
    <n v="2.6"/>
    <n v="1477.22"/>
  </r>
  <r>
    <n v="10317"/>
    <s v="11/13/2022"/>
    <n v="1981"/>
    <x v="0"/>
    <x v="1"/>
    <n v="2"/>
    <n v="29.43"/>
    <n v="0.11"/>
    <x v="1"/>
    <n v="8"/>
    <n v="4.9000000000000004"/>
    <n v="52.39"/>
  </r>
  <r>
    <n v="10318"/>
    <s v="11/14/2022"/>
    <n v="1906"/>
    <x v="1"/>
    <x v="3"/>
    <n v="2"/>
    <n v="410.06"/>
    <n v="0.04"/>
    <x v="0"/>
    <n v="1"/>
    <n v="1.7"/>
    <n v="787.32"/>
  </r>
  <r>
    <n v="10319"/>
    <s v="11/15/2022"/>
    <n v="1510"/>
    <x v="1"/>
    <x v="1"/>
    <n v="4"/>
    <n v="560.51"/>
    <n v="0.25"/>
    <x v="1"/>
    <n v="10"/>
    <n v="3.5"/>
    <n v="1681.53"/>
  </r>
  <r>
    <n v="10320"/>
    <s v="11/16/2022"/>
    <n v="1751"/>
    <x v="3"/>
    <x v="1"/>
    <n v="1"/>
    <n v="153.6"/>
    <n v="0.1"/>
    <x v="2"/>
    <n v="3"/>
    <n v="1.8"/>
    <n v="138.24"/>
  </r>
  <r>
    <n v="10321"/>
    <s v="11/17/2022"/>
    <n v="1143"/>
    <x v="3"/>
    <x v="1"/>
    <n v="2"/>
    <n v="420.78"/>
    <n v="0.06"/>
    <x v="2"/>
    <n v="8"/>
    <n v="3.2"/>
    <n v="791.07"/>
  </r>
  <r>
    <n v="10322"/>
    <s v="11/18/2022"/>
    <n v="1608"/>
    <x v="2"/>
    <x v="2"/>
    <n v="7"/>
    <n v="585.42999999999995"/>
    <n v="0.05"/>
    <x v="1"/>
    <n v="10"/>
    <n v="3.2"/>
    <n v="3893.11"/>
  </r>
  <r>
    <n v="10323"/>
    <s v="11/19/2022"/>
    <n v="1200"/>
    <x v="3"/>
    <x v="2"/>
    <n v="6"/>
    <n v="577.92999999999995"/>
    <n v="0.11"/>
    <x v="2"/>
    <n v="8"/>
    <n v="1.3"/>
    <n v="3086.15"/>
  </r>
  <r>
    <n v="10324"/>
    <s v="11/20/2022"/>
    <n v="1123"/>
    <x v="3"/>
    <x v="0"/>
    <n v="6"/>
    <n v="152.43"/>
    <n v="0.21"/>
    <x v="2"/>
    <n v="11"/>
    <n v="2.8"/>
    <n v="722.52"/>
  </r>
  <r>
    <n v="10325"/>
    <s v="11/21/2022"/>
    <n v="1186"/>
    <x v="3"/>
    <x v="2"/>
    <n v="6"/>
    <n v="73.69"/>
    <n v="0.13"/>
    <x v="1"/>
    <n v="5"/>
    <n v="2.8"/>
    <n v="384.66"/>
  </r>
  <r>
    <n v="10326"/>
    <s v="11/22/2022"/>
    <n v="1325"/>
    <x v="2"/>
    <x v="1"/>
    <n v="3"/>
    <n v="101.75"/>
    <n v="0.01"/>
    <x v="2"/>
    <n v="5"/>
    <n v="2.2999999999999998"/>
    <n v="302.2"/>
  </r>
  <r>
    <n v="10327"/>
    <s v="11/23/2022"/>
    <n v="1463"/>
    <x v="0"/>
    <x v="2"/>
    <n v="7"/>
    <n v="425.69"/>
    <n v="0.03"/>
    <x v="0"/>
    <n v="8"/>
    <n v="2.1"/>
    <n v="2890.44"/>
  </r>
  <r>
    <n v="10328"/>
    <s v="11/24/2022"/>
    <n v="1348"/>
    <x v="1"/>
    <x v="3"/>
    <n v="3"/>
    <n v="439.57"/>
    <n v="0.1"/>
    <x v="2"/>
    <n v="10"/>
    <n v="1.9"/>
    <n v="1186.8399999999999"/>
  </r>
  <r>
    <n v="10329"/>
    <s v="11/25/2022"/>
    <n v="1770"/>
    <x v="2"/>
    <x v="0"/>
    <n v="1"/>
    <n v="409.43"/>
    <n v="0.23"/>
    <x v="0"/>
    <n v="5"/>
    <n v="1"/>
    <n v="315.26"/>
  </r>
  <r>
    <n v="10330"/>
    <s v="11/26/2022"/>
    <n v="1659"/>
    <x v="1"/>
    <x v="0"/>
    <n v="4"/>
    <n v="211.61"/>
    <n v="0.03"/>
    <x v="1"/>
    <n v="9"/>
    <n v="1"/>
    <n v="821.05"/>
  </r>
  <r>
    <n v="10331"/>
    <s v="11/27/2022"/>
    <n v="1763"/>
    <x v="2"/>
    <x v="2"/>
    <n v="5"/>
    <n v="114.32"/>
    <n v="0.2"/>
    <x v="2"/>
    <n v="1"/>
    <n v="3.4"/>
    <n v="457.28"/>
  </r>
  <r>
    <n v="10332"/>
    <s v="11/28/2022"/>
    <n v="1954"/>
    <x v="2"/>
    <x v="1"/>
    <n v="7"/>
    <n v="354.75"/>
    <n v="0.04"/>
    <x v="0"/>
    <n v="5"/>
    <n v="2.2000000000000002"/>
    <n v="2383.92"/>
  </r>
  <r>
    <n v="10333"/>
    <s v="11/29/2022"/>
    <n v="1931"/>
    <x v="3"/>
    <x v="0"/>
    <n v="1"/>
    <n v="297.95"/>
    <n v="7.0000000000000007E-2"/>
    <x v="1"/>
    <n v="3"/>
    <n v="1.7"/>
    <n v="277.08999999999997"/>
  </r>
  <r>
    <n v="10334"/>
    <s v="11/30/2022"/>
    <n v="1402"/>
    <x v="2"/>
    <x v="3"/>
    <n v="5"/>
    <n v="441.37"/>
    <n v="0.06"/>
    <x v="0"/>
    <n v="3"/>
    <n v="3.7"/>
    <n v="2074.44"/>
  </r>
  <r>
    <n v="10335"/>
    <s v="12/1/2022"/>
    <n v="1345"/>
    <x v="1"/>
    <x v="3"/>
    <n v="1"/>
    <n v="273.2"/>
    <n v="0.02"/>
    <x v="1"/>
    <n v="2"/>
    <n v="3.1"/>
    <n v="267.74"/>
  </r>
  <r>
    <n v="10336"/>
    <s v="12/2/2022"/>
    <n v="1962"/>
    <x v="1"/>
    <x v="0"/>
    <n v="3"/>
    <n v="213.1"/>
    <n v="0.23"/>
    <x v="0"/>
    <n v="3"/>
    <n v="4.7"/>
    <n v="492.26"/>
  </r>
  <r>
    <n v="10337"/>
    <s v="12/3/2022"/>
    <n v="1510"/>
    <x v="2"/>
    <x v="1"/>
    <n v="6"/>
    <n v="186.68"/>
    <n v="0.16"/>
    <x v="1"/>
    <n v="7"/>
    <n v="4.3"/>
    <n v="940.87"/>
  </r>
  <r>
    <n v="10338"/>
    <s v="12/4/2022"/>
    <n v="1146"/>
    <x v="0"/>
    <x v="1"/>
    <n v="4"/>
    <n v="138.71"/>
    <n v="0.28999999999999998"/>
    <x v="1"/>
    <n v="8"/>
    <n v="3.9"/>
    <n v="393.94"/>
  </r>
  <r>
    <n v="10339"/>
    <s v="12/5/2022"/>
    <n v="1147"/>
    <x v="2"/>
    <x v="2"/>
    <n v="3"/>
    <n v="170.46"/>
    <n v="0.03"/>
    <x v="0"/>
    <n v="8"/>
    <n v="1.5"/>
    <n v="496.04"/>
  </r>
  <r>
    <n v="10340"/>
    <s v="12/6/2022"/>
    <n v="1863"/>
    <x v="2"/>
    <x v="2"/>
    <n v="4"/>
    <n v="70.48"/>
    <n v="0.05"/>
    <x v="1"/>
    <n v="11"/>
    <n v="3.7"/>
    <n v="267.82"/>
  </r>
  <r>
    <n v="10341"/>
    <s v="12/7/2022"/>
    <n v="1710"/>
    <x v="2"/>
    <x v="0"/>
    <n v="7"/>
    <n v="217.91"/>
    <n v="0.11"/>
    <x v="1"/>
    <n v="8"/>
    <n v="3.8"/>
    <n v="1357.58"/>
  </r>
  <r>
    <n v="10342"/>
    <s v="12/8/2022"/>
    <n v="1819"/>
    <x v="2"/>
    <x v="2"/>
    <n v="5"/>
    <n v="36.39"/>
    <n v="0.27"/>
    <x v="1"/>
    <n v="1"/>
    <n v="4.0999999999999996"/>
    <n v="132.82"/>
  </r>
  <r>
    <n v="10343"/>
    <s v="12/9/2022"/>
    <n v="1488"/>
    <x v="2"/>
    <x v="2"/>
    <n v="1"/>
    <n v="124.05"/>
    <n v="0.11"/>
    <x v="2"/>
    <n v="11"/>
    <n v="2.1"/>
    <n v="110.4"/>
  </r>
  <r>
    <n v="10344"/>
    <s v="12/10/2022"/>
    <n v="1928"/>
    <x v="3"/>
    <x v="2"/>
    <n v="2"/>
    <n v="451.86"/>
    <n v="0.14000000000000001"/>
    <x v="0"/>
    <n v="7"/>
    <n v="3.6"/>
    <n v="777.2"/>
  </r>
  <r>
    <n v="10345"/>
    <s v="12/11/2022"/>
    <n v="1935"/>
    <x v="0"/>
    <x v="3"/>
    <n v="2"/>
    <n v="205.4"/>
    <n v="0.11"/>
    <x v="1"/>
    <n v="2"/>
    <n v="3.5"/>
    <n v="365.61"/>
  </r>
  <r>
    <n v="10346"/>
    <s v="12/12/2022"/>
    <n v="1639"/>
    <x v="2"/>
    <x v="2"/>
    <n v="4"/>
    <n v="405.92"/>
    <n v="0.03"/>
    <x v="2"/>
    <n v="11"/>
    <n v="2.5"/>
    <n v="1574.97"/>
  </r>
  <r>
    <n v="10347"/>
    <s v="12/13/2022"/>
    <n v="1550"/>
    <x v="3"/>
    <x v="0"/>
    <n v="6"/>
    <n v="434.38"/>
    <n v="0.33"/>
    <x v="1"/>
    <n v="10"/>
    <n v="3.7"/>
    <n v="1746.21"/>
  </r>
  <r>
    <n v="10348"/>
    <s v="12/14/2022"/>
    <n v="1337"/>
    <x v="3"/>
    <x v="1"/>
    <n v="6"/>
    <n v="354.99"/>
    <n v="0.19"/>
    <x v="2"/>
    <n v="4"/>
    <n v="1.3"/>
    <n v="1725.25"/>
  </r>
  <r>
    <n v="10349"/>
    <s v="12/15/2022"/>
    <n v="1871"/>
    <x v="3"/>
    <x v="2"/>
    <n v="4"/>
    <n v="575.84"/>
    <n v="0.28000000000000003"/>
    <x v="1"/>
    <n v="5"/>
    <n v="3.6"/>
    <n v="1658.42"/>
  </r>
  <r>
    <n v="10350"/>
    <s v="12/16/2022"/>
    <n v="1640"/>
    <x v="1"/>
    <x v="1"/>
    <n v="3"/>
    <n v="27.54"/>
    <n v="0.23"/>
    <x v="1"/>
    <n v="1"/>
    <n v="3.4"/>
    <n v="63.62"/>
  </r>
  <r>
    <n v="10351"/>
    <s v="12/17/2022"/>
    <n v="1778"/>
    <x v="2"/>
    <x v="2"/>
    <n v="2"/>
    <n v="447.11"/>
    <n v="0.18"/>
    <x v="1"/>
    <n v="4"/>
    <n v="1.8"/>
    <n v="733.26"/>
  </r>
  <r>
    <n v="10352"/>
    <s v="12/18/2022"/>
    <n v="1987"/>
    <x v="2"/>
    <x v="0"/>
    <n v="3"/>
    <n v="575.89"/>
    <n v="0.03"/>
    <x v="2"/>
    <n v="4"/>
    <n v="4.3"/>
    <n v="1675.84"/>
  </r>
  <r>
    <n v="10353"/>
    <s v="12/19/2022"/>
    <n v="1952"/>
    <x v="3"/>
    <x v="3"/>
    <n v="5"/>
    <n v="519.42999999999995"/>
    <n v="0.22"/>
    <x v="0"/>
    <n v="9"/>
    <n v="4.5"/>
    <n v="2025.78"/>
  </r>
  <r>
    <n v="10354"/>
    <s v="12/20/2022"/>
    <n v="1472"/>
    <x v="3"/>
    <x v="0"/>
    <n v="2"/>
    <n v="113.22"/>
    <n v="0.05"/>
    <x v="2"/>
    <n v="9"/>
    <n v="1.8"/>
    <n v="215.12"/>
  </r>
  <r>
    <n v="10355"/>
    <s v="12/21/2022"/>
    <n v="1945"/>
    <x v="2"/>
    <x v="3"/>
    <n v="5"/>
    <n v="206.19"/>
    <n v="0.15"/>
    <x v="1"/>
    <n v="11"/>
    <n v="1.3"/>
    <n v="876.31"/>
  </r>
  <r>
    <n v="10356"/>
    <s v="12/22/2022"/>
    <n v="1150"/>
    <x v="1"/>
    <x v="2"/>
    <n v="1"/>
    <n v="115.88"/>
    <n v="0.22"/>
    <x v="2"/>
    <n v="10"/>
    <n v="3.4"/>
    <n v="90.39"/>
  </r>
  <r>
    <n v="10357"/>
    <s v="12/23/2022"/>
    <n v="1414"/>
    <x v="0"/>
    <x v="2"/>
    <n v="3"/>
    <n v="366.77"/>
    <n v="0.27"/>
    <x v="2"/>
    <n v="1"/>
    <n v="2.9"/>
    <n v="803.23"/>
  </r>
  <r>
    <n v="10358"/>
    <s v="12/24/2022"/>
    <n v="1989"/>
    <x v="3"/>
    <x v="3"/>
    <n v="4"/>
    <n v="431.63"/>
    <n v="0.24"/>
    <x v="1"/>
    <n v="8"/>
    <n v="2.7"/>
    <n v="1312.16"/>
  </r>
  <r>
    <n v="10359"/>
    <s v="12/25/2022"/>
    <n v="1297"/>
    <x v="0"/>
    <x v="0"/>
    <n v="2"/>
    <n v="200.49"/>
    <n v="0.24"/>
    <x v="1"/>
    <n v="4"/>
    <n v="4"/>
    <n v="304.74"/>
  </r>
  <r>
    <n v="10360"/>
    <s v="12/26/2022"/>
    <n v="1610"/>
    <x v="3"/>
    <x v="0"/>
    <n v="3"/>
    <n v="330.61"/>
    <n v="0.05"/>
    <x v="1"/>
    <n v="4"/>
    <n v="4.9000000000000004"/>
    <n v="942.24"/>
  </r>
  <r>
    <n v="10361"/>
    <s v="12/27/2022"/>
    <n v="1262"/>
    <x v="1"/>
    <x v="3"/>
    <n v="4"/>
    <n v="419.19"/>
    <n v="0.12"/>
    <x v="2"/>
    <n v="5"/>
    <n v="2.9"/>
    <n v="1475.55"/>
  </r>
  <r>
    <n v="10362"/>
    <s v="12/28/2022"/>
    <n v="1763"/>
    <x v="1"/>
    <x v="2"/>
    <n v="1"/>
    <n v="261.48"/>
    <n v="0.02"/>
    <x v="2"/>
    <n v="2"/>
    <n v="1"/>
    <n v="256.25"/>
  </r>
  <r>
    <n v="10363"/>
    <s v="12/29/2022"/>
    <n v="1143"/>
    <x v="3"/>
    <x v="3"/>
    <n v="2"/>
    <n v="514.6"/>
    <n v="0.25"/>
    <x v="2"/>
    <n v="1"/>
    <n v="3.4"/>
    <n v="771.9"/>
  </r>
  <r>
    <n v="10364"/>
    <s v="12/30/2022"/>
    <n v="1345"/>
    <x v="2"/>
    <x v="2"/>
    <n v="5"/>
    <n v="466.36"/>
    <n v="0.33"/>
    <x v="1"/>
    <n v="5"/>
    <n v="3.6"/>
    <n v="1562.31"/>
  </r>
  <r>
    <n v="10365"/>
    <s v="12/31/2022"/>
    <n v="1623"/>
    <x v="1"/>
    <x v="3"/>
    <n v="1"/>
    <n v="52.83"/>
    <n v="0.09"/>
    <x v="1"/>
    <n v="7"/>
    <n v="4.3"/>
    <n v="48.08"/>
  </r>
  <r>
    <n v="10366"/>
    <s v="1/1/2023"/>
    <n v="1571"/>
    <x v="3"/>
    <x v="2"/>
    <n v="6"/>
    <n v="378.36"/>
    <n v="0.03"/>
    <x v="0"/>
    <n v="10"/>
    <n v="1.8"/>
    <n v="2202.06"/>
  </r>
  <r>
    <n v="10367"/>
    <s v="1/2/2023"/>
    <n v="1880"/>
    <x v="2"/>
    <x v="3"/>
    <n v="4"/>
    <n v="152.66999999999999"/>
    <n v="0.17"/>
    <x v="1"/>
    <n v="9"/>
    <n v="3.1"/>
    <n v="506.86"/>
  </r>
  <r>
    <n v="10368"/>
    <s v="1/3/2023"/>
    <n v="1001"/>
    <x v="3"/>
    <x v="1"/>
    <n v="2"/>
    <n v="341.15"/>
    <n v="0.3"/>
    <x v="0"/>
    <n v="2"/>
    <n v="2.8"/>
    <n v="477.61"/>
  </r>
  <r>
    <n v="10369"/>
    <s v="1/4/2023"/>
    <n v="1896"/>
    <x v="1"/>
    <x v="2"/>
    <n v="2"/>
    <n v="574.78"/>
    <n v="0.19"/>
    <x v="2"/>
    <n v="8"/>
    <n v="3.7"/>
    <n v="931.14"/>
  </r>
  <r>
    <n v="10370"/>
    <s v="1/5/2023"/>
    <n v="1303"/>
    <x v="0"/>
    <x v="0"/>
    <n v="7"/>
    <n v="529.25"/>
    <n v="0.02"/>
    <x v="1"/>
    <n v="7"/>
    <n v="1.3"/>
    <n v="3630.66"/>
  </r>
  <r>
    <n v="10371"/>
    <s v="1/6/2023"/>
    <n v="1253"/>
    <x v="2"/>
    <x v="3"/>
    <n v="7"/>
    <n v="251.64"/>
    <n v="0.34"/>
    <x v="2"/>
    <n v="2"/>
    <n v="4.5"/>
    <n v="1162.58"/>
  </r>
  <r>
    <n v="10372"/>
    <s v="1/7/2023"/>
    <n v="1651"/>
    <x v="2"/>
    <x v="0"/>
    <n v="1"/>
    <n v="185.54"/>
    <n v="0.28999999999999998"/>
    <x v="0"/>
    <n v="5"/>
    <n v="3"/>
    <n v="131.72999999999999"/>
  </r>
  <r>
    <n v="10373"/>
    <s v="1/8/2023"/>
    <n v="1452"/>
    <x v="1"/>
    <x v="3"/>
    <n v="2"/>
    <n v="152.13"/>
    <n v="0.05"/>
    <x v="1"/>
    <n v="7"/>
    <n v="4.5"/>
    <n v="289.05"/>
  </r>
  <r>
    <n v="10374"/>
    <s v="1/9/2023"/>
    <n v="1036"/>
    <x v="2"/>
    <x v="0"/>
    <n v="4"/>
    <n v="326.52"/>
    <n v="0.32"/>
    <x v="0"/>
    <n v="3"/>
    <n v="2.4"/>
    <n v="888.13"/>
  </r>
  <r>
    <n v="10375"/>
    <s v="1/10/2023"/>
    <n v="1159"/>
    <x v="3"/>
    <x v="0"/>
    <n v="1"/>
    <n v="81.84"/>
    <n v="0.16"/>
    <x v="1"/>
    <n v="2"/>
    <n v="3.6"/>
    <n v="68.75"/>
  </r>
  <r>
    <n v="10376"/>
    <s v="1/11/2023"/>
    <n v="1008"/>
    <x v="3"/>
    <x v="3"/>
    <n v="5"/>
    <n v="336.33"/>
    <n v="0.13"/>
    <x v="2"/>
    <n v="6"/>
    <n v="4.8"/>
    <n v="1463.04"/>
  </r>
  <r>
    <n v="10377"/>
    <s v="1/12/2023"/>
    <n v="1232"/>
    <x v="2"/>
    <x v="3"/>
    <n v="1"/>
    <n v="15.78"/>
    <n v="0.16"/>
    <x v="0"/>
    <n v="10"/>
    <n v="4.8"/>
    <n v="13.26"/>
  </r>
  <r>
    <n v="10378"/>
    <s v="1/13/2023"/>
    <n v="1098"/>
    <x v="1"/>
    <x v="0"/>
    <n v="1"/>
    <n v="204.45"/>
    <n v="0.28999999999999998"/>
    <x v="0"/>
    <n v="6"/>
    <n v="4.8"/>
    <n v="145.16"/>
  </r>
  <r>
    <n v="10379"/>
    <s v="1/14/2023"/>
    <n v="1658"/>
    <x v="1"/>
    <x v="0"/>
    <n v="5"/>
    <n v="143.66"/>
    <n v="0.23"/>
    <x v="2"/>
    <n v="11"/>
    <n v="1.2"/>
    <n v="553.09"/>
  </r>
  <r>
    <n v="10380"/>
    <s v="1/15/2023"/>
    <n v="1815"/>
    <x v="1"/>
    <x v="0"/>
    <n v="6"/>
    <n v="583.16"/>
    <n v="0.02"/>
    <x v="2"/>
    <n v="4"/>
    <n v="2.6"/>
    <n v="3428.98"/>
  </r>
  <r>
    <n v="10381"/>
    <s v="1/16/2023"/>
    <n v="1207"/>
    <x v="0"/>
    <x v="2"/>
    <n v="7"/>
    <n v="440.44"/>
    <n v="0.34"/>
    <x v="1"/>
    <n v="1"/>
    <n v="1.2"/>
    <n v="2034.83"/>
  </r>
  <r>
    <n v="10382"/>
    <s v="1/17/2023"/>
    <n v="1130"/>
    <x v="3"/>
    <x v="2"/>
    <n v="4"/>
    <n v="219.55"/>
    <n v="0.05"/>
    <x v="1"/>
    <n v="5"/>
    <n v="2.2000000000000002"/>
    <n v="834.29"/>
  </r>
  <r>
    <n v="10383"/>
    <s v="1/18/2023"/>
    <n v="1403"/>
    <x v="3"/>
    <x v="1"/>
    <n v="6"/>
    <n v="69.31"/>
    <n v="0.26"/>
    <x v="1"/>
    <n v="1"/>
    <n v="1.7"/>
    <n v="307.74"/>
  </r>
  <r>
    <n v="10384"/>
    <s v="1/19/2023"/>
    <n v="1151"/>
    <x v="3"/>
    <x v="2"/>
    <n v="6"/>
    <n v="317.33"/>
    <n v="0.22"/>
    <x v="1"/>
    <n v="11"/>
    <n v="3.5"/>
    <n v="1485.1"/>
  </r>
  <r>
    <n v="10385"/>
    <s v="1/20/2023"/>
    <n v="1053"/>
    <x v="1"/>
    <x v="2"/>
    <n v="6"/>
    <n v="139.87"/>
    <n v="7.0000000000000007E-2"/>
    <x v="1"/>
    <n v="11"/>
    <n v="4.0999999999999996"/>
    <n v="780.47"/>
  </r>
  <r>
    <n v="10386"/>
    <s v="1/21/2023"/>
    <n v="1119"/>
    <x v="0"/>
    <x v="3"/>
    <n v="7"/>
    <n v="328.81"/>
    <n v="0.06"/>
    <x v="1"/>
    <n v="8"/>
    <n v="3.1"/>
    <n v="2163.5700000000002"/>
  </r>
  <r>
    <n v="10387"/>
    <s v="1/22/2023"/>
    <n v="1672"/>
    <x v="3"/>
    <x v="1"/>
    <n v="3"/>
    <n v="503.69"/>
    <n v="0.3"/>
    <x v="0"/>
    <n v="2"/>
    <n v="4.2"/>
    <n v="1057.75"/>
  </r>
  <r>
    <n v="10388"/>
    <s v="1/23/2023"/>
    <n v="1919"/>
    <x v="3"/>
    <x v="1"/>
    <n v="7"/>
    <n v="375.24"/>
    <n v="0.15"/>
    <x v="2"/>
    <n v="9"/>
    <n v="1.1000000000000001"/>
    <n v="2232.6799999999998"/>
  </r>
  <r>
    <n v="10389"/>
    <s v="1/24/2023"/>
    <n v="1627"/>
    <x v="0"/>
    <x v="2"/>
    <n v="6"/>
    <n v="385.77"/>
    <n v="0.23"/>
    <x v="1"/>
    <n v="9"/>
    <n v="4.3"/>
    <n v="1782.26"/>
  </r>
  <r>
    <n v="10390"/>
    <s v="1/25/2023"/>
    <n v="1586"/>
    <x v="2"/>
    <x v="3"/>
    <n v="3"/>
    <n v="331.5"/>
    <n v="0.18"/>
    <x v="0"/>
    <n v="3"/>
    <n v="1.7"/>
    <n v="815.49"/>
  </r>
  <r>
    <n v="10391"/>
    <s v="1/26/2023"/>
    <n v="1624"/>
    <x v="3"/>
    <x v="3"/>
    <n v="5"/>
    <n v="557.45000000000005"/>
    <n v="0.25"/>
    <x v="1"/>
    <n v="6"/>
    <n v="2.8"/>
    <n v="2090.44"/>
  </r>
  <r>
    <n v="10392"/>
    <s v="1/27/2023"/>
    <n v="1967"/>
    <x v="2"/>
    <x v="1"/>
    <n v="7"/>
    <n v="560.16"/>
    <n v="0.17"/>
    <x v="2"/>
    <n v="9"/>
    <n v="2.8"/>
    <n v="3254.53"/>
  </r>
  <r>
    <n v="10393"/>
    <s v="1/28/2023"/>
    <n v="1419"/>
    <x v="2"/>
    <x v="3"/>
    <n v="4"/>
    <n v="314.94"/>
    <n v="0.1"/>
    <x v="2"/>
    <n v="7"/>
    <n v="4.5"/>
    <n v="1133.78"/>
  </r>
  <r>
    <n v="10394"/>
    <s v="1/29/2023"/>
    <n v="1421"/>
    <x v="2"/>
    <x v="0"/>
    <n v="6"/>
    <n v="193.87"/>
    <n v="0.13"/>
    <x v="1"/>
    <n v="4"/>
    <n v="4.9000000000000004"/>
    <n v="1012"/>
  </r>
  <r>
    <n v="10395"/>
    <s v="1/30/2023"/>
    <n v="1103"/>
    <x v="0"/>
    <x v="2"/>
    <n v="2"/>
    <n v="283.86"/>
    <n v="0.3"/>
    <x v="2"/>
    <n v="3"/>
    <n v="2"/>
    <n v="397.4"/>
  </r>
  <r>
    <n v="10396"/>
    <s v="1/31/2023"/>
    <n v="1851"/>
    <x v="0"/>
    <x v="0"/>
    <n v="5"/>
    <n v="124.14"/>
    <n v="0.16"/>
    <x v="1"/>
    <n v="2"/>
    <n v="1.3"/>
    <n v="521.39"/>
  </r>
  <r>
    <n v="10397"/>
    <s v="2/1/2023"/>
    <n v="1253"/>
    <x v="3"/>
    <x v="1"/>
    <n v="3"/>
    <n v="387.26"/>
    <n v="7.0000000000000007E-2"/>
    <x v="1"/>
    <n v="10"/>
    <n v="3.6"/>
    <n v="1080.46"/>
  </r>
  <r>
    <n v="10398"/>
    <s v="2/2/2023"/>
    <n v="1226"/>
    <x v="3"/>
    <x v="1"/>
    <n v="7"/>
    <n v="307.55"/>
    <n v="0.33"/>
    <x v="1"/>
    <n v="10"/>
    <n v="3"/>
    <n v="1442.41"/>
  </r>
  <r>
    <n v="10399"/>
    <s v="2/3/2023"/>
    <n v="1111"/>
    <x v="1"/>
    <x v="3"/>
    <n v="4"/>
    <n v="75.430000000000007"/>
    <n v="0.28000000000000003"/>
    <x v="0"/>
    <n v="1"/>
    <n v="3.3"/>
    <n v="217.24"/>
  </r>
  <r>
    <n v="10400"/>
    <s v="2/4/2023"/>
    <n v="1509"/>
    <x v="0"/>
    <x v="3"/>
    <n v="1"/>
    <n v="130.62"/>
    <n v="0.02"/>
    <x v="2"/>
    <n v="11"/>
    <n v="1.2"/>
    <n v="128.01"/>
  </r>
  <r>
    <n v="10401"/>
    <s v="2/5/2023"/>
    <n v="1472"/>
    <x v="1"/>
    <x v="1"/>
    <n v="4"/>
    <n v="295.58"/>
    <n v="0.35"/>
    <x v="2"/>
    <n v="10"/>
    <n v="4.0999999999999996"/>
    <n v="768.51"/>
  </r>
  <r>
    <n v="10402"/>
    <s v="2/6/2023"/>
    <n v="1098"/>
    <x v="1"/>
    <x v="1"/>
    <n v="4"/>
    <n v="534.24"/>
    <n v="0.24"/>
    <x v="2"/>
    <n v="11"/>
    <n v="1.9"/>
    <n v="1624.09"/>
  </r>
  <r>
    <n v="10403"/>
    <s v="2/7/2023"/>
    <n v="1152"/>
    <x v="2"/>
    <x v="0"/>
    <n v="6"/>
    <n v="346.34"/>
    <n v="0.06"/>
    <x v="1"/>
    <n v="1"/>
    <n v="2.2999999999999998"/>
    <n v="1953.36"/>
  </r>
  <r>
    <n v="10404"/>
    <s v="2/8/2023"/>
    <n v="1860"/>
    <x v="3"/>
    <x v="0"/>
    <n v="6"/>
    <n v="413.7"/>
    <n v="0.08"/>
    <x v="2"/>
    <n v="4"/>
    <n v="1.9"/>
    <n v="2283.62"/>
  </r>
  <r>
    <n v="10405"/>
    <s v="2/9/2023"/>
    <n v="1913"/>
    <x v="3"/>
    <x v="3"/>
    <n v="7"/>
    <n v="213.33"/>
    <n v="0.24"/>
    <x v="1"/>
    <n v="4"/>
    <n v="4.8"/>
    <n v="1134.92"/>
  </r>
  <r>
    <n v="10406"/>
    <s v="2/10/2023"/>
    <n v="1895"/>
    <x v="1"/>
    <x v="0"/>
    <n v="7"/>
    <n v="349.28"/>
    <n v="0.27"/>
    <x v="1"/>
    <n v="9"/>
    <n v="1.7"/>
    <n v="1784.82"/>
  </r>
  <r>
    <n v="10407"/>
    <s v="2/11/2023"/>
    <n v="1877"/>
    <x v="2"/>
    <x v="3"/>
    <n v="3"/>
    <n v="276.72000000000003"/>
    <n v="0.08"/>
    <x v="2"/>
    <n v="10"/>
    <n v="3.9"/>
    <n v="763.75"/>
  </r>
  <r>
    <n v="10408"/>
    <s v="2/12/2023"/>
    <n v="1337"/>
    <x v="3"/>
    <x v="3"/>
    <n v="7"/>
    <n v="400.59"/>
    <n v="0.09"/>
    <x v="1"/>
    <n v="1"/>
    <n v="2"/>
    <n v="2551.7600000000002"/>
  </r>
  <r>
    <n v="10409"/>
    <s v="2/13/2023"/>
    <n v="1705"/>
    <x v="2"/>
    <x v="2"/>
    <n v="3"/>
    <n v="44.59"/>
    <n v="0.11"/>
    <x v="1"/>
    <n v="11"/>
    <n v="2.7"/>
    <n v="119.06"/>
  </r>
  <r>
    <n v="10410"/>
    <s v="2/14/2023"/>
    <n v="1821"/>
    <x v="3"/>
    <x v="3"/>
    <n v="6"/>
    <n v="303.58"/>
    <n v="0.21"/>
    <x v="0"/>
    <n v="4"/>
    <n v="5"/>
    <n v="1438.97"/>
  </r>
  <r>
    <n v="10411"/>
    <s v="2/15/2023"/>
    <n v="1162"/>
    <x v="0"/>
    <x v="0"/>
    <n v="6"/>
    <n v="188.16"/>
    <n v="0.06"/>
    <x v="2"/>
    <n v="3"/>
    <n v="1.4"/>
    <n v="1061.22"/>
  </r>
  <r>
    <n v="10412"/>
    <s v="2/16/2023"/>
    <n v="1719"/>
    <x v="1"/>
    <x v="1"/>
    <n v="2"/>
    <n v="205.82"/>
    <n v="0.04"/>
    <x v="2"/>
    <n v="9"/>
    <n v="4.5"/>
    <n v="395.17"/>
  </r>
  <r>
    <n v="10413"/>
    <s v="2/17/2023"/>
    <n v="1956"/>
    <x v="2"/>
    <x v="1"/>
    <n v="2"/>
    <n v="577.14"/>
    <n v="0.24"/>
    <x v="1"/>
    <n v="5"/>
    <n v="4.8"/>
    <n v="877.25"/>
  </r>
  <r>
    <n v="10414"/>
    <s v="2/18/2023"/>
    <n v="1680"/>
    <x v="3"/>
    <x v="0"/>
    <n v="5"/>
    <n v="121.88"/>
    <n v="0.27"/>
    <x v="1"/>
    <n v="9"/>
    <n v="3.8"/>
    <n v="444.86"/>
  </r>
  <r>
    <n v="10415"/>
    <s v="2/19/2023"/>
    <n v="1995"/>
    <x v="3"/>
    <x v="1"/>
    <n v="6"/>
    <n v="197.08"/>
    <n v="0.18"/>
    <x v="2"/>
    <n v="10"/>
    <n v="1"/>
    <n v="969.63"/>
  </r>
  <r>
    <n v="10416"/>
    <s v="2/20/2023"/>
    <n v="1160"/>
    <x v="1"/>
    <x v="3"/>
    <n v="1"/>
    <n v="313.29000000000002"/>
    <n v="0.13"/>
    <x v="2"/>
    <n v="6"/>
    <n v="4.3"/>
    <n v="272.56"/>
  </r>
  <r>
    <n v="10417"/>
    <s v="2/21/2023"/>
    <n v="1579"/>
    <x v="0"/>
    <x v="1"/>
    <n v="2"/>
    <n v="519.87"/>
    <n v="0.15"/>
    <x v="2"/>
    <n v="11"/>
    <n v="4.5"/>
    <n v="883.78"/>
  </r>
  <r>
    <n v="10418"/>
    <s v="2/22/2023"/>
    <n v="1800"/>
    <x v="2"/>
    <x v="0"/>
    <n v="3"/>
    <n v="258.75"/>
    <n v="0.14000000000000001"/>
    <x v="0"/>
    <n v="9"/>
    <n v="4.9000000000000004"/>
    <n v="667.58"/>
  </r>
  <r>
    <n v="10419"/>
    <s v="2/23/2023"/>
    <n v="1397"/>
    <x v="1"/>
    <x v="1"/>
    <n v="4"/>
    <n v="450.16"/>
    <n v="0.34"/>
    <x v="0"/>
    <n v="1"/>
    <n v="4.4000000000000004"/>
    <n v="1188.42"/>
  </r>
  <r>
    <n v="10420"/>
    <s v="2/24/2023"/>
    <n v="1276"/>
    <x v="3"/>
    <x v="3"/>
    <n v="7"/>
    <n v="515.98"/>
    <n v="0.27"/>
    <x v="1"/>
    <n v="4"/>
    <n v="2.8"/>
    <n v="2636.66"/>
  </r>
  <r>
    <n v="10421"/>
    <s v="2/25/2023"/>
    <n v="1815"/>
    <x v="0"/>
    <x v="3"/>
    <n v="7"/>
    <n v="196.36"/>
    <n v="7.0000000000000007E-2"/>
    <x v="0"/>
    <n v="4"/>
    <n v="3.8"/>
    <n v="1278.3"/>
  </r>
  <r>
    <n v="10422"/>
    <s v="2/26/2023"/>
    <n v="1915"/>
    <x v="2"/>
    <x v="0"/>
    <n v="5"/>
    <n v="244.76"/>
    <n v="0.13"/>
    <x v="2"/>
    <n v="10"/>
    <n v="2.9"/>
    <n v="1064.71"/>
  </r>
  <r>
    <n v="10423"/>
    <s v="2/27/2023"/>
    <n v="1503"/>
    <x v="3"/>
    <x v="0"/>
    <n v="2"/>
    <n v="223.59"/>
    <n v="0.19"/>
    <x v="2"/>
    <n v="10"/>
    <n v="2.4"/>
    <n v="362.22"/>
  </r>
  <r>
    <n v="10424"/>
    <s v="2/28/2023"/>
    <n v="1895"/>
    <x v="1"/>
    <x v="0"/>
    <n v="4"/>
    <n v="502.22"/>
    <n v="0.21"/>
    <x v="1"/>
    <n v="6"/>
    <n v="3.5"/>
    <n v="1587.02"/>
  </r>
  <r>
    <n v="10425"/>
    <s v="3/1/2023"/>
    <n v="1391"/>
    <x v="1"/>
    <x v="2"/>
    <n v="4"/>
    <n v="40.94"/>
    <n v="0.16"/>
    <x v="2"/>
    <n v="10"/>
    <n v="4.0999999999999996"/>
    <n v="137.56"/>
  </r>
  <r>
    <n v="10426"/>
    <s v="3/2/2023"/>
    <n v="1134"/>
    <x v="2"/>
    <x v="2"/>
    <n v="2"/>
    <n v="195.43"/>
    <n v="0.28000000000000003"/>
    <x v="0"/>
    <n v="1"/>
    <n v="3.5"/>
    <n v="281.42"/>
  </r>
  <r>
    <n v="10427"/>
    <s v="3/3/2023"/>
    <n v="1194"/>
    <x v="0"/>
    <x v="3"/>
    <n v="1"/>
    <n v="412.45"/>
    <n v="0.27"/>
    <x v="2"/>
    <n v="10"/>
    <n v="4.3"/>
    <n v="301.08999999999997"/>
  </r>
  <r>
    <n v="10428"/>
    <s v="3/4/2023"/>
    <n v="1400"/>
    <x v="2"/>
    <x v="2"/>
    <n v="1"/>
    <n v="345.78"/>
    <n v="0.18"/>
    <x v="2"/>
    <n v="5"/>
    <n v="1.7"/>
    <n v="283.54000000000002"/>
  </r>
  <r>
    <n v="10429"/>
    <s v="3/5/2023"/>
    <n v="1639"/>
    <x v="2"/>
    <x v="2"/>
    <n v="5"/>
    <n v="270.23"/>
    <n v="0.3"/>
    <x v="1"/>
    <n v="3"/>
    <n v="2.5"/>
    <n v="945.8"/>
  </r>
  <r>
    <n v="10430"/>
    <s v="3/6/2023"/>
    <n v="1032"/>
    <x v="2"/>
    <x v="1"/>
    <n v="1"/>
    <n v="330.87"/>
    <n v="0.26"/>
    <x v="1"/>
    <n v="1"/>
    <n v="2.2999999999999998"/>
    <n v="244.84"/>
  </r>
  <r>
    <n v="10431"/>
    <s v="3/7/2023"/>
    <n v="1687"/>
    <x v="0"/>
    <x v="2"/>
    <n v="5"/>
    <n v="130.59"/>
    <n v="0.27"/>
    <x v="1"/>
    <n v="6"/>
    <n v="1.8"/>
    <n v="476.65"/>
  </r>
  <r>
    <n v="10432"/>
    <s v="3/8/2023"/>
    <n v="1459"/>
    <x v="3"/>
    <x v="1"/>
    <n v="3"/>
    <n v="266.97000000000003"/>
    <n v="0.33"/>
    <x v="1"/>
    <n v="3"/>
    <n v="2.8"/>
    <n v="536.61"/>
  </r>
  <r>
    <n v="10433"/>
    <s v="3/9/2023"/>
    <n v="1954"/>
    <x v="3"/>
    <x v="0"/>
    <n v="2"/>
    <n v="308.5"/>
    <n v="0.09"/>
    <x v="2"/>
    <n v="4"/>
    <n v="4.8"/>
    <n v="561.47"/>
  </r>
  <r>
    <n v="10434"/>
    <s v="3/10/2023"/>
    <n v="1882"/>
    <x v="2"/>
    <x v="1"/>
    <n v="4"/>
    <n v="542.20000000000005"/>
    <n v="0.09"/>
    <x v="1"/>
    <n v="9"/>
    <n v="3.2"/>
    <n v="1973.61"/>
  </r>
  <r>
    <n v="10435"/>
    <s v="3/11/2023"/>
    <n v="1469"/>
    <x v="1"/>
    <x v="1"/>
    <n v="5"/>
    <n v="167.59"/>
    <n v="0.31"/>
    <x v="2"/>
    <n v="2"/>
    <n v="2.1"/>
    <n v="578.19000000000005"/>
  </r>
  <r>
    <n v="10436"/>
    <s v="3/12/2023"/>
    <n v="1374"/>
    <x v="1"/>
    <x v="0"/>
    <n v="7"/>
    <n v="522.67999999999995"/>
    <n v="0.27"/>
    <x v="1"/>
    <n v="1"/>
    <n v="2.4"/>
    <n v="2670.89"/>
  </r>
  <r>
    <n v="10437"/>
    <s v="3/13/2023"/>
    <n v="1021"/>
    <x v="3"/>
    <x v="0"/>
    <n v="1"/>
    <n v="391.88"/>
    <n v="0.32"/>
    <x v="1"/>
    <n v="10"/>
    <n v="3.5"/>
    <n v="266.48"/>
  </r>
  <r>
    <n v="10438"/>
    <s v="3/14/2023"/>
    <n v="1749"/>
    <x v="0"/>
    <x v="3"/>
    <n v="7"/>
    <n v="26.9"/>
    <n v="0.02"/>
    <x v="1"/>
    <n v="6"/>
    <n v="2.4"/>
    <n v="184.53"/>
  </r>
  <r>
    <n v="10439"/>
    <s v="3/15/2023"/>
    <n v="1669"/>
    <x v="2"/>
    <x v="3"/>
    <n v="5"/>
    <n v="438.91"/>
    <n v="0.22"/>
    <x v="0"/>
    <n v="1"/>
    <n v="3.2"/>
    <n v="1711.75"/>
  </r>
  <r>
    <n v="10440"/>
    <s v="3/16/2023"/>
    <n v="1037"/>
    <x v="3"/>
    <x v="3"/>
    <n v="6"/>
    <n v="35.799999999999997"/>
    <n v="0.05"/>
    <x v="1"/>
    <n v="1"/>
    <n v="2.1"/>
    <n v="204.06"/>
  </r>
  <r>
    <n v="10441"/>
    <s v="3/17/2023"/>
    <n v="1229"/>
    <x v="2"/>
    <x v="3"/>
    <n v="5"/>
    <n v="598.47"/>
    <n v="0.18"/>
    <x v="1"/>
    <n v="7"/>
    <n v="2.4"/>
    <n v="2453.73"/>
  </r>
  <r>
    <n v="10442"/>
    <s v="3/18/2023"/>
    <n v="1364"/>
    <x v="1"/>
    <x v="1"/>
    <n v="1"/>
    <n v="525.49"/>
    <n v="0.05"/>
    <x v="0"/>
    <n v="2"/>
    <n v="3.8"/>
    <n v="499.22"/>
  </r>
  <r>
    <n v="10443"/>
    <s v="3/19/2023"/>
    <n v="1562"/>
    <x v="2"/>
    <x v="1"/>
    <n v="6"/>
    <n v="188.95"/>
    <n v="0.04"/>
    <x v="0"/>
    <n v="4"/>
    <n v="3.3"/>
    <n v="1088.3499999999999"/>
  </r>
  <r>
    <n v="10444"/>
    <s v="3/20/2023"/>
    <n v="1437"/>
    <x v="2"/>
    <x v="3"/>
    <n v="6"/>
    <n v="165.59"/>
    <n v="0"/>
    <x v="2"/>
    <n v="4"/>
    <n v="1.4"/>
    <n v="993.54"/>
  </r>
  <r>
    <n v="10445"/>
    <s v="3/21/2023"/>
    <n v="1775"/>
    <x v="1"/>
    <x v="2"/>
    <n v="1"/>
    <n v="238.14"/>
    <n v="0.22"/>
    <x v="1"/>
    <n v="2"/>
    <n v="4.9000000000000004"/>
    <n v="185.75"/>
  </r>
  <r>
    <n v="10446"/>
    <s v="3/22/2023"/>
    <n v="1282"/>
    <x v="1"/>
    <x v="3"/>
    <n v="6"/>
    <n v="223.36"/>
    <n v="0.13"/>
    <x v="1"/>
    <n v="6"/>
    <n v="1.2"/>
    <n v="1165.94"/>
  </r>
  <r>
    <n v="10447"/>
    <s v="3/23/2023"/>
    <n v="1026"/>
    <x v="2"/>
    <x v="2"/>
    <n v="2"/>
    <n v="232.82"/>
    <n v="0.04"/>
    <x v="0"/>
    <n v="10"/>
    <n v="1.3"/>
    <n v="447.01"/>
  </r>
  <r>
    <n v="10448"/>
    <s v="3/24/2023"/>
    <n v="1225"/>
    <x v="3"/>
    <x v="0"/>
    <n v="4"/>
    <n v="201.19"/>
    <n v="0.11"/>
    <x v="0"/>
    <n v="2"/>
    <n v="3.8"/>
    <n v="716.24"/>
  </r>
  <r>
    <n v="10449"/>
    <s v="3/25/2023"/>
    <n v="1276"/>
    <x v="1"/>
    <x v="1"/>
    <n v="7"/>
    <n v="378.36"/>
    <n v="0.06"/>
    <x v="2"/>
    <n v="8"/>
    <n v="3.8"/>
    <n v="2489.61"/>
  </r>
  <r>
    <n v="10450"/>
    <s v="3/26/2023"/>
    <n v="1797"/>
    <x v="2"/>
    <x v="1"/>
    <n v="2"/>
    <n v="111.09"/>
    <n v="0.33"/>
    <x v="1"/>
    <n v="4"/>
    <n v="1.1000000000000001"/>
    <n v="148.86000000000001"/>
  </r>
  <r>
    <n v="10451"/>
    <s v="3/27/2023"/>
    <n v="1608"/>
    <x v="3"/>
    <x v="2"/>
    <n v="2"/>
    <n v="509.9"/>
    <n v="0.11"/>
    <x v="1"/>
    <n v="1"/>
    <n v="3.6"/>
    <n v="907.62"/>
  </r>
  <r>
    <n v="10452"/>
    <s v="3/28/2023"/>
    <n v="1283"/>
    <x v="2"/>
    <x v="3"/>
    <n v="1"/>
    <n v="490.26"/>
    <n v="0.12"/>
    <x v="1"/>
    <n v="7"/>
    <n v="1.1000000000000001"/>
    <n v="431.43"/>
  </r>
  <r>
    <n v="10453"/>
    <s v="3/29/2023"/>
    <n v="1878"/>
    <x v="1"/>
    <x v="1"/>
    <n v="1"/>
    <n v="293.74"/>
    <n v="0.28999999999999998"/>
    <x v="2"/>
    <n v="6"/>
    <n v="4.8"/>
    <n v="208.56"/>
  </r>
  <r>
    <n v="10454"/>
    <s v="3/30/2023"/>
    <n v="1959"/>
    <x v="3"/>
    <x v="2"/>
    <n v="7"/>
    <n v="513.85"/>
    <n v="0.23"/>
    <x v="1"/>
    <n v="6"/>
    <n v="3.8"/>
    <n v="2769.65"/>
  </r>
  <r>
    <n v="10455"/>
    <s v="3/31/2023"/>
    <n v="1480"/>
    <x v="2"/>
    <x v="0"/>
    <n v="4"/>
    <n v="159.58000000000001"/>
    <n v="0.25"/>
    <x v="0"/>
    <n v="11"/>
    <n v="1.7"/>
    <n v="478.74"/>
  </r>
  <r>
    <n v="10456"/>
    <s v="4/1/2023"/>
    <n v="1452"/>
    <x v="2"/>
    <x v="0"/>
    <n v="5"/>
    <n v="25.28"/>
    <n v="0.22"/>
    <x v="1"/>
    <n v="3"/>
    <n v="1.6"/>
    <n v="98.59"/>
  </r>
  <r>
    <n v="10457"/>
    <s v="4/2/2023"/>
    <n v="1828"/>
    <x v="1"/>
    <x v="1"/>
    <n v="2"/>
    <n v="377.24"/>
    <n v="0.33"/>
    <x v="2"/>
    <n v="10"/>
    <n v="3.3"/>
    <n v="505.5"/>
  </r>
  <r>
    <n v="10458"/>
    <s v="4/3/2023"/>
    <n v="1815"/>
    <x v="0"/>
    <x v="3"/>
    <n v="6"/>
    <n v="282.88"/>
    <n v="7.0000000000000007E-2"/>
    <x v="1"/>
    <n v="7"/>
    <n v="3.5"/>
    <n v="1578.47"/>
  </r>
  <r>
    <n v="10459"/>
    <s v="4/4/2023"/>
    <n v="1658"/>
    <x v="1"/>
    <x v="2"/>
    <n v="4"/>
    <n v="346.79"/>
    <n v="0.35"/>
    <x v="2"/>
    <n v="6"/>
    <n v="4.3"/>
    <n v="901.65"/>
  </r>
  <r>
    <n v="10460"/>
    <s v="4/5/2023"/>
    <n v="1515"/>
    <x v="3"/>
    <x v="1"/>
    <n v="2"/>
    <n v="541.11"/>
    <n v="0.28999999999999998"/>
    <x v="1"/>
    <n v="10"/>
    <n v="4.5999999999999996"/>
    <n v="768.38"/>
  </r>
  <r>
    <n v="10461"/>
    <s v="4/6/2023"/>
    <n v="1546"/>
    <x v="1"/>
    <x v="0"/>
    <n v="5"/>
    <n v="582.41"/>
    <n v="0.21"/>
    <x v="2"/>
    <n v="10"/>
    <n v="2.6"/>
    <n v="2300.52"/>
  </r>
  <r>
    <n v="10462"/>
    <s v="4/7/2023"/>
    <n v="1191"/>
    <x v="2"/>
    <x v="3"/>
    <n v="6"/>
    <n v="386.16"/>
    <n v="0.23"/>
    <x v="2"/>
    <n v="9"/>
    <n v="4.4000000000000004"/>
    <n v="1784.06"/>
  </r>
  <r>
    <n v="10463"/>
    <s v="4/8/2023"/>
    <n v="1048"/>
    <x v="1"/>
    <x v="2"/>
    <n v="2"/>
    <n v="461.97"/>
    <n v="0.23"/>
    <x v="1"/>
    <n v="3"/>
    <n v="3.2"/>
    <n v="711.43"/>
  </r>
  <r>
    <n v="10464"/>
    <s v="4/9/2023"/>
    <n v="1511"/>
    <x v="3"/>
    <x v="1"/>
    <n v="3"/>
    <n v="64.03"/>
    <n v="0.02"/>
    <x v="0"/>
    <n v="3"/>
    <n v="2.9"/>
    <n v="188.25"/>
  </r>
  <r>
    <n v="10465"/>
    <s v="4/10/2023"/>
    <n v="1016"/>
    <x v="2"/>
    <x v="2"/>
    <n v="7"/>
    <n v="109.02"/>
    <n v="0.08"/>
    <x v="2"/>
    <n v="4"/>
    <n v="3.8"/>
    <n v="702.09"/>
  </r>
  <r>
    <n v="10466"/>
    <s v="4/11/2023"/>
    <n v="1171"/>
    <x v="2"/>
    <x v="3"/>
    <n v="4"/>
    <n v="443.92"/>
    <n v="0.34"/>
    <x v="0"/>
    <n v="3"/>
    <n v="1.4"/>
    <n v="1171.95"/>
  </r>
  <r>
    <n v="10467"/>
    <s v="4/12/2023"/>
    <n v="1219"/>
    <x v="2"/>
    <x v="3"/>
    <n v="7"/>
    <n v="267.35000000000002"/>
    <n v="0.19"/>
    <x v="0"/>
    <n v="4"/>
    <n v="2.1"/>
    <n v="1515.87"/>
  </r>
  <r>
    <n v="10468"/>
    <s v="4/13/2023"/>
    <n v="1157"/>
    <x v="1"/>
    <x v="0"/>
    <n v="1"/>
    <n v="275.89"/>
    <n v="0.13"/>
    <x v="0"/>
    <n v="6"/>
    <n v="4.3"/>
    <n v="240.02"/>
  </r>
  <r>
    <n v="10469"/>
    <s v="4/14/2023"/>
    <n v="1476"/>
    <x v="0"/>
    <x v="3"/>
    <n v="2"/>
    <n v="195.54"/>
    <n v="0.27"/>
    <x v="1"/>
    <n v="1"/>
    <n v="3"/>
    <n v="285.49"/>
  </r>
  <r>
    <n v="10470"/>
    <s v="4/15/2023"/>
    <n v="1045"/>
    <x v="2"/>
    <x v="1"/>
    <n v="6"/>
    <n v="370.3"/>
    <n v="0.18"/>
    <x v="1"/>
    <n v="2"/>
    <n v="4.5999999999999996"/>
    <n v="1821.88"/>
  </r>
  <r>
    <n v="10471"/>
    <s v="4/16/2023"/>
    <n v="1372"/>
    <x v="1"/>
    <x v="2"/>
    <n v="6"/>
    <n v="123.32"/>
    <n v="0"/>
    <x v="0"/>
    <n v="10"/>
    <n v="1.4"/>
    <n v="739.92"/>
  </r>
  <r>
    <n v="10472"/>
    <s v="4/17/2023"/>
    <n v="1517"/>
    <x v="2"/>
    <x v="3"/>
    <n v="4"/>
    <n v="381.75"/>
    <n v="0.26"/>
    <x v="2"/>
    <n v="6"/>
    <n v="2.2999999999999998"/>
    <n v="1129.98"/>
  </r>
  <r>
    <n v="10473"/>
    <s v="4/18/2023"/>
    <n v="1098"/>
    <x v="0"/>
    <x v="3"/>
    <n v="4"/>
    <n v="116.67"/>
    <n v="0.26"/>
    <x v="1"/>
    <n v="6"/>
    <n v="2.4"/>
    <n v="345.34"/>
  </r>
  <r>
    <n v="10474"/>
    <s v="4/19/2023"/>
    <n v="1891"/>
    <x v="2"/>
    <x v="1"/>
    <n v="7"/>
    <n v="52.34"/>
    <n v="0.06"/>
    <x v="2"/>
    <n v="1"/>
    <n v="2.7"/>
    <n v="344.4"/>
  </r>
  <r>
    <n v="10475"/>
    <s v="4/20/2023"/>
    <n v="1744"/>
    <x v="1"/>
    <x v="2"/>
    <n v="6"/>
    <n v="208.26"/>
    <n v="0.33"/>
    <x v="1"/>
    <n v="6"/>
    <n v="4.9000000000000004"/>
    <n v="837.21"/>
  </r>
  <r>
    <n v="10476"/>
    <s v="4/21/2023"/>
    <n v="1036"/>
    <x v="3"/>
    <x v="2"/>
    <n v="6"/>
    <n v="150.22"/>
    <n v="0.08"/>
    <x v="2"/>
    <n v="11"/>
    <n v="2.2000000000000002"/>
    <n v="829.21"/>
  </r>
  <r>
    <n v="10477"/>
    <s v="4/22/2023"/>
    <n v="1279"/>
    <x v="3"/>
    <x v="0"/>
    <n v="6"/>
    <n v="535.05999999999995"/>
    <n v="0.16"/>
    <x v="0"/>
    <n v="9"/>
    <n v="3.1"/>
    <n v="2696.7"/>
  </r>
  <r>
    <n v="10478"/>
    <s v="4/23/2023"/>
    <n v="1348"/>
    <x v="1"/>
    <x v="0"/>
    <n v="2"/>
    <n v="47.15"/>
    <n v="0.04"/>
    <x v="2"/>
    <n v="8"/>
    <n v="3.1"/>
    <n v="90.53"/>
  </r>
  <r>
    <n v="10479"/>
    <s v="4/24/2023"/>
    <n v="1496"/>
    <x v="2"/>
    <x v="2"/>
    <n v="6"/>
    <n v="118.32"/>
    <n v="0.21"/>
    <x v="1"/>
    <n v="10"/>
    <n v="4.0999999999999996"/>
    <n v="560.84"/>
  </r>
  <r>
    <n v="10480"/>
    <s v="4/25/2023"/>
    <n v="1301"/>
    <x v="1"/>
    <x v="1"/>
    <n v="1"/>
    <n v="336"/>
    <n v="0.13"/>
    <x v="1"/>
    <n v="5"/>
    <n v="3.1"/>
    <n v="292.32"/>
  </r>
  <r>
    <n v="10481"/>
    <s v="4/26/2023"/>
    <n v="1180"/>
    <x v="2"/>
    <x v="1"/>
    <n v="6"/>
    <n v="296.42"/>
    <n v="0.12"/>
    <x v="1"/>
    <n v="4"/>
    <n v="3.4"/>
    <n v="1565.1"/>
  </r>
  <r>
    <n v="10482"/>
    <s v="4/27/2023"/>
    <n v="1606"/>
    <x v="2"/>
    <x v="0"/>
    <n v="1"/>
    <n v="41.82"/>
    <n v="0.28999999999999998"/>
    <x v="2"/>
    <n v="6"/>
    <n v="4"/>
    <n v="29.69"/>
  </r>
  <r>
    <n v="10483"/>
    <s v="4/28/2023"/>
    <n v="1098"/>
    <x v="1"/>
    <x v="3"/>
    <n v="2"/>
    <n v="19.239999999999998"/>
    <n v="0"/>
    <x v="1"/>
    <n v="11"/>
    <n v="1.4"/>
    <n v="38.479999999999997"/>
  </r>
  <r>
    <n v="10484"/>
    <s v="4/29/2023"/>
    <n v="1699"/>
    <x v="2"/>
    <x v="1"/>
    <n v="4"/>
    <n v="593.02"/>
    <n v="0.28000000000000003"/>
    <x v="2"/>
    <n v="5"/>
    <n v="4.9000000000000004"/>
    <n v="1707.9"/>
  </r>
  <r>
    <n v="10485"/>
    <s v="4/30/2023"/>
    <n v="1992"/>
    <x v="2"/>
    <x v="3"/>
    <n v="1"/>
    <n v="400.42"/>
    <n v="0.2"/>
    <x v="2"/>
    <n v="6"/>
    <n v="4.4000000000000004"/>
    <n v="320.33999999999997"/>
  </r>
  <r>
    <n v="10486"/>
    <s v="5/1/2023"/>
    <n v="1115"/>
    <x v="3"/>
    <x v="1"/>
    <n v="2"/>
    <n v="228.76"/>
    <n v="0.35"/>
    <x v="2"/>
    <n v="10"/>
    <n v="2.6"/>
    <n v="297.39"/>
  </r>
  <r>
    <n v="10487"/>
    <s v="5/2/2023"/>
    <n v="1190"/>
    <x v="0"/>
    <x v="2"/>
    <n v="6"/>
    <n v="290.2"/>
    <n v="0.21"/>
    <x v="0"/>
    <n v="11"/>
    <n v="3.9"/>
    <n v="1375.55"/>
  </r>
  <r>
    <n v="10488"/>
    <s v="5/3/2023"/>
    <n v="1252"/>
    <x v="1"/>
    <x v="0"/>
    <n v="2"/>
    <n v="170.93"/>
    <n v="0.02"/>
    <x v="2"/>
    <n v="3"/>
    <n v="4"/>
    <n v="335.02"/>
  </r>
  <r>
    <n v="10489"/>
    <s v="5/4/2023"/>
    <n v="1980"/>
    <x v="2"/>
    <x v="3"/>
    <n v="6"/>
    <n v="216.75"/>
    <n v="0.02"/>
    <x v="1"/>
    <n v="7"/>
    <n v="4.4000000000000004"/>
    <n v="1274.49"/>
  </r>
  <r>
    <n v="10490"/>
    <s v="5/5/2023"/>
    <n v="1927"/>
    <x v="2"/>
    <x v="3"/>
    <n v="7"/>
    <n v="394.69"/>
    <n v="0.31"/>
    <x v="2"/>
    <n v="8"/>
    <n v="1.8"/>
    <n v="1906.35"/>
  </r>
  <r>
    <n v="10491"/>
    <s v="5/6/2023"/>
    <n v="1982"/>
    <x v="0"/>
    <x v="2"/>
    <n v="2"/>
    <n v="531.44000000000005"/>
    <n v="0.28999999999999998"/>
    <x v="2"/>
    <n v="5"/>
    <n v="3.8"/>
    <n v="754.64"/>
  </r>
  <r>
    <n v="10492"/>
    <s v="5/7/2023"/>
    <n v="1160"/>
    <x v="2"/>
    <x v="1"/>
    <n v="4"/>
    <n v="122.72"/>
    <n v="0.12"/>
    <x v="1"/>
    <n v="5"/>
    <n v="1.1000000000000001"/>
    <n v="431.97"/>
  </r>
  <r>
    <n v="10493"/>
    <s v="5/8/2023"/>
    <n v="1255"/>
    <x v="2"/>
    <x v="3"/>
    <n v="1"/>
    <n v="506.61"/>
    <n v="0.22"/>
    <x v="2"/>
    <n v="4"/>
    <n v="1.5"/>
    <n v="395.16"/>
  </r>
  <r>
    <n v="10494"/>
    <s v="5/9/2023"/>
    <n v="1322"/>
    <x v="1"/>
    <x v="1"/>
    <n v="7"/>
    <n v="86.11"/>
    <n v="0.17"/>
    <x v="1"/>
    <n v="10"/>
    <n v="4.0999999999999996"/>
    <n v="500.3"/>
  </r>
  <r>
    <n v="10495"/>
    <s v="5/10/2023"/>
    <n v="1127"/>
    <x v="1"/>
    <x v="2"/>
    <n v="4"/>
    <n v="140.77000000000001"/>
    <n v="0.34"/>
    <x v="1"/>
    <n v="5"/>
    <n v="4.3"/>
    <n v="371.63"/>
  </r>
  <r>
    <n v="10496"/>
    <s v="5/11/2023"/>
    <n v="1017"/>
    <x v="1"/>
    <x v="0"/>
    <n v="3"/>
    <n v="36.75"/>
    <n v="0.33"/>
    <x v="0"/>
    <n v="10"/>
    <n v="3.4"/>
    <n v="73.87"/>
  </r>
  <r>
    <n v="10497"/>
    <s v="5/12/2023"/>
    <n v="1792"/>
    <x v="2"/>
    <x v="3"/>
    <n v="6"/>
    <n v="97.37"/>
    <n v="0.34"/>
    <x v="0"/>
    <n v="11"/>
    <n v="3.3"/>
    <n v="385.59"/>
  </r>
  <r>
    <n v="10498"/>
    <s v="5/13/2023"/>
    <n v="1734"/>
    <x v="2"/>
    <x v="1"/>
    <n v="1"/>
    <n v="551.62"/>
    <n v="0.3"/>
    <x v="2"/>
    <n v="8"/>
    <n v="4"/>
    <n v="386.13"/>
  </r>
  <r>
    <n v="10499"/>
    <s v="5/14/2023"/>
    <n v="1565"/>
    <x v="0"/>
    <x v="3"/>
    <n v="4"/>
    <n v="283.77"/>
    <n v="0.32"/>
    <x v="2"/>
    <n v="5"/>
    <n v="4.5999999999999996"/>
    <n v="771.85"/>
  </r>
  <r>
    <n v="10500"/>
    <s v="5/15/2023"/>
    <n v="1569"/>
    <x v="2"/>
    <x v="1"/>
    <n v="1"/>
    <n v="60.43"/>
    <n v="0.08"/>
    <x v="0"/>
    <n v="9"/>
    <n v="2.7"/>
    <n v="55.6"/>
  </r>
  <r>
    <n v="10501"/>
    <s v="5/16/2023"/>
    <n v="1322"/>
    <x v="3"/>
    <x v="1"/>
    <n v="3"/>
    <n v="576.44000000000005"/>
    <n v="0.28999999999999998"/>
    <x v="0"/>
    <n v="1"/>
    <n v="1.5"/>
    <n v="1227.82"/>
  </r>
  <r>
    <n v="10502"/>
    <s v="5/17/2023"/>
    <n v="1871"/>
    <x v="3"/>
    <x v="1"/>
    <n v="5"/>
    <n v="529.21"/>
    <n v="0.25"/>
    <x v="2"/>
    <n v="7"/>
    <n v="4.4000000000000004"/>
    <n v="1984.54"/>
  </r>
  <r>
    <n v="10503"/>
    <s v="5/18/2023"/>
    <n v="1685"/>
    <x v="1"/>
    <x v="2"/>
    <n v="6"/>
    <n v="456.49"/>
    <n v="0.34"/>
    <x v="2"/>
    <n v="5"/>
    <n v="2.4"/>
    <n v="1807.7"/>
  </r>
  <r>
    <n v="10504"/>
    <s v="5/19/2023"/>
    <n v="1791"/>
    <x v="2"/>
    <x v="0"/>
    <n v="6"/>
    <n v="561.08000000000004"/>
    <n v="0.2"/>
    <x v="1"/>
    <n v="4"/>
    <n v="1.5"/>
    <n v="2693.18"/>
  </r>
  <r>
    <n v="10505"/>
    <s v="5/20/2023"/>
    <n v="1625"/>
    <x v="2"/>
    <x v="3"/>
    <n v="2"/>
    <n v="143.78"/>
    <n v="0.03"/>
    <x v="1"/>
    <n v="3"/>
    <n v="3.5"/>
    <n v="278.93"/>
  </r>
  <r>
    <n v="10506"/>
    <s v="5/21/2023"/>
    <n v="1287"/>
    <x v="1"/>
    <x v="0"/>
    <n v="6"/>
    <n v="504.28"/>
    <n v="0.21"/>
    <x v="1"/>
    <n v="10"/>
    <n v="3.3"/>
    <n v="2390.29"/>
  </r>
  <r>
    <n v="10507"/>
    <s v="5/22/2023"/>
    <n v="1942"/>
    <x v="0"/>
    <x v="1"/>
    <n v="6"/>
    <n v="418.64"/>
    <n v="0.24"/>
    <x v="2"/>
    <n v="7"/>
    <n v="2.9"/>
    <n v="1909"/>
  </r>
  <r>
    <n v="10508"/>
    <s v="5/23/2023"/>
    <n v="1853"/>
    <x v="0"/>
    <x v="1"/>
    <n v="4"/>
    <n v="523.80999999999995"/>
    <n v="0.08"/>
    <x v="0"/>
    <n v="2"/>
    <n v="4.4000000000000004"/>
    <n v="1927.62"/>
  </r>
  <r>
    <n v="10509"/>
    <s v="5/24/2023"/>
    <n v="1662"/>
    <x v="2"/>
    <x v="0"/>
    <n v="7"/>
    <n v="481.19"/>
    <n v="0.14000000000000001"/>
    <x v="0"/>
    <n v="5"/>
    <n v="2.1"/>
    <n v="2896.76"/>
  </r>
  <r>
    <n v="10510"/>
    <s v="5/25/2023"/>
    <n v="1961"/>
    <x v="2"/>
    <x v="0"/>
    <n v="6"/>
    <n v="217.7"/>
    <n v="0.21"/>
    <x v="1"/>
    <n v="2"/>
    <n v="1.1000000000000001"/>
    <n v="1031.9000000000001"/>
  </r>
  <r>
    <n v="10511"/>
    <s v="5/26/2023"/>
    <n v="1638"/>
    <x v="0"/>
    <x v="3"/>
    <n v="6"/>
    <n v="468.02"/>
    <n v="0.13"/>
    <x v="2"/>
    <n v="7"/>
    <n v="2.2999999999999998"/>
    <n v="2443.06"/>
  </r>
  <r>
    <n v="10512"/>
    <s v="5/27/2023"/>
    <n v="1154"/>
    <x v="3"/>
    <x v="1"/>
    <n v="3"/>
    <n v="168.54"/>
    <n v="0.13"/>
    <x v="1"/>
    <n v="6"/>
    <n v="1"/>
    <n v="439.89"/>
  </r>
  <r>
    <n v="10513"/>
    <s v="5/28/2023"/>
    <n v="1489"/>
    <x v="0"/>
    <x v="0"/>
    <n v="7"/>
    <n v="207.23"/>
    <n v="0.05"/>
    <x v="1"/>
    <n v="10"/>
    <n v="3.2"/>
    <n v="1378.08"/>
  </r>
  <r>
    <n v="10514"/>
    <s v="5/29/2023"/>
    <n v="1385"/>
    <x v="2"/>
    <x v="2"/>
    <n v="3"/>
    <n v="78.12"/>
    <n v="0.33"/>
    <x v="0"/>
    <n v="7"/>
    <n v="2.5"/>
    <n v="157.02000000000001"/>
  </r>
  <r>
    <n v="10515"/>
    <s v="5/30/2023"/>
    <n v="1985"/>
    <x v="1"/>
    <x v="1"/>
    <n v="1"/>
    <n v="562.02"/>
    <n v="0.26"/>
    <x v="2"/>
    <n v="9"/>
    <n v="4.3"/>
    <n v="415.89"/>
  </r>
  <r>
    <n v="10516"/>
    <s v="5/31/2023"/>
    <n v="1784"/>
    <x v="3"/>
    <x v="1"/>
    <n v="1"/>
    <n v="185.24"/>
    <n v="0"/>
    <x v="2"/>
    <n v="2"/>
    <n v="4.2"/>
    <n v="185.24"/>
  </r>
  <r>
    <n v="10517"/>
    <s v="6/1/2023"/>
    <n v="1103"/>
    <x v="3"/>
    <x v="3"/>
    <n v="6"/>
    <n v="319.56"/>
    <n v="0.27"/>
    <x v="1"/>
    <n v="9"/>
    <n v="2.7"/>
    <n v="1399.67"/>
  </r>
  <r>
    <n v="10518"/>
    <s v="6/2/2023"/>
    <n v="1928"/>
    <x v="1"/>
    <x v="2"/>
    <n v="6"/>
    <n v="243.93"/>
    <n v="0.26"/>
    <x v="1"/>
    <n v="7"/>
    <n v="1.9"/>
    <n v="1083.05"/>
  </r>
  <r>
    <n v="10519"/>
    <s v="6/3/2023"/>
    <n v="1392"/>
    <x v="2"/>
    <x v="3"/>
    <n v="2"/>
    <n v="576.55999999999995"/>
    <n v="0"/>
    <x v="2"/>
    <n v="2"/>
    <n v="2.7"/>
    <n v="1153.1199999999999"/>
  </r>
  <r>
    <n v="10520"/>
    <s v="6/4/2023"/>
    <n v="1810"/>
    <x v="1"/>
    <x v="2"/>
    <n v="1"/>
    <n v="211"/>
    <n v="0.13"/>
    <x v="1"/>
    <n v="10"/>
    <n v="3.6"/>
    <n v="183.57"/>
  </r>
  <r>
    <n v="10521"/>
    <s v="6/5/2023"/>
    <n v="1245"/>
    <x v="2"/>
    <x v="3"/>
    <n v="4"/>
    <n v="470.45"/>
    <n v="0.21"/>
    <x v="1"/>
    <n v="2"/>
    <n v="1.8"/>
    <n v="1486.62"/>
  </r>
  <r>
    <n v="10522"/>
    <s v="6/6/2023"/>
    <n v="1175"/>
    <x v="1"/>
    <x v="2"/>
    <n v="6"/>
    <n v="515.41999999999996"/>
    <n v="0.16"/>
    <x v="1"/>
    <n v="4"/>
    <n v="4.0999999999999996"/>
    <n v="2597.7199999999998"/>
  </r>
  <r>
    <n v="10523"/>
    <s v="6/7/2023"/>
    <n v="1038"/>
    <x v="0"/>
    <x v="2"/>
    <n v="4"/>
    <n v="269.83"/>
    <n v="0.27"/>
    <x v="2"/>
    <n v="2"/>
    <n v="2.2999999999999998"/>
    <n v="787.9"/>
  </r>
  <r>
    <n v="10524"/>
    <s v="6/8/2023"/>
    <n v="1476"/>
    <x v="1"/>
    <x v="2"/>
    <n v="6"/>
    <n v="236.23"/>
    <n v="0.15"/>
    <x v="0"/>
    <n v="1"/>
    <n v="4.7"/>
    <n v="1204.77"/>
  </r>
  <r>
    <n v="10525"/>
    <s v="6/9/2023"/>
    <n v="1681"/>
    <x v="3"/>
    <x v="0"/>
    <n v="4"/>
    <n v="452.43"/>
    <n v="0.05"/>
    <x v="0"/>
    <n v="6"/>
    <n v="3"/>
    <n v="1719.23"/>
  </r>
  <r>
    <n v="10526"/>
    <s v="6/10/2023"/>
    <n v="1758"/>
    <x v="2"/>
    <x v="1"/>
    <n v="5"/>
    <n v="549.04"/>
    <n v="0.34"/>
    <x v="0"/>
    <n v="10"/>
    <n v="4.4000000000000004"/>
    <n v="1811.83"/>
  </r>
  <r>
    <n v="10527"/>
    <s v="6/11/2023"/>
    <n v="1537"/>
    <x v="3"/>
    <x v="2"/>
    <n v="4"/>
    <n v="456.64"/>
    <n v="0.08"/>
    <x v="0"/>
    <n v="11"/>
    <n v="3.5"/>
    <n v="1680.44"/>
  </r>
  <r>
    <n v="10528"/>
    <s v="6/12/2023"/>
    <n v="1866"/>
    <x v="0"/>
    <x v="0"/>
    <n v="7"/>
    <n v="147.87"/>
    <n v="0.25"/>
    <x v="0"/>
    <n v="5"/>
    <n v="3.2"/>
    <n v="776.32"/>
  </r>
  <r>
    <n v="10529"/>
    <s v="6/13/2023"/>
    <n v="1817"/>
    <x v="2"/>
    <x v="0"/>
    <n v="1"/>
    <n v="534.66"/>
    <n v="0.05"/>
    <x v="2"/>
    <n v="3"/>
    <n v="3.7"/>
    <n v="507.93"/>
  </r>
  <r>
    <n v="10530"/>
    <s v="6/14/2023"/>
    <n v="1920"/>
    <x v="2"/>
    <x v="3"/>
    <n v="6"/>
    <n v="241.74"/>
    <n v="0.12"/>
    <x v="2"/>
    <n v="11"/>
    <n v="4.2"/>
    <n v="1276.3900000000001"/>
  </r>
  <r>
    <n v="10531"/>
    <s v="6/15/2023"/>
    <n v="1407"/>
    <x v="1"/>
    <x v="1"/>
    <n v="1"/>
    <n v="352.09"/>
    <n v="0.15"/>
    <x v="1"/>
    <n v="1"/>
    <n v="3.6"/>
    <n v="299.27999999999997"/>
  </r>
  <r>
    <n v="10532"/>
    <s v="6/16/2023"/>
    <n v="1524"/>
    <x v="2"/>
    <x v="1"/>
    <n v="7"/>
    <n v="501.39"/>
    <n v="7.0000000000000007E-2"/>
    <x v="0"/>
    <n v="9"/>
    <n v="4.2"/>
    <n v="3264.05"/>
  </r>
  <r>
    <n v="10533"/>
    <s v="6/17/2023"/>
    <n v="1827"/>
    <x v="3"/>
    <x v="3"/>
    <n v="7"/>
    <n v="125.21"/>
    <n v="0.16"/>
    <x v="1"/>
    <n v="8"/>
    <n v="1.8"/>
    <n v="736.23"/>
  </r>
  <r>
    <n v="10534"/>
    <s v="6/18/2023"/>
    <n v="1505"/>
    <x v="0"/>
    <x v="1"/>
    <n v="4"/>
    <n v="473.94"/>
    <n v="0.06"/>
    <x v="1"/>
    <n v="6"/>
    <n v="2.1"/>
    <n v="1782.01"/>
  </r>
  <r>
    <n v="10535"/>
    <s v="6/19/2023"/>
    <n v="1902"/>
    <x v="1"/>
    <x v="3"/>
    <n v="3"/>
    <n v="363.76"/>
    <n v="0.2"/>
    <x v="0"/>
    <n v="6"/>
    <n v="1.9"/>
    <n v="873.02"/>
  </r>
  <r>
    <n v="10536"/>
    <s v="6/20/2023"/>
    <n v="1824"/>
    <x v="2"/>
    <x v="0"/>
    <n v="3"/>
    <n v="537.6"/>
    <n v="0.23"/>
    <x v="1"/>
    <n v="4"/>
    <n v="4.2"/>
    <n v="1241.8599999999999"/>
  </r>
  <r>
    <n v="10537"/>
    <s v="6/21/2023"/>
    <n v="1035"/>
    <x v="1"/>
    <x v="0"/>
    <n v="7"/>
    <n v="115.6"/>
    <n v="0.02"/>
    <x v="0"/>
    <n v="2"/>
    <n v="1.3"/>
    <n v="793.02"/>
  </r>
  <r>
    <n v="10538"/>
    <s v="6/22/2023"/>
    <n v="1684"/>
    <x v="3"/>
    <x v="2"/>
    <n v="3"/>
    <n v="261.10000000000002"/>
    <n v="0.3"/>
    <x v="2"/>
    <n v="4"/>
    <n v="4.2"/>
    <n v="548.30999999999995"/>
  </r>
  <r>
    <n v="10539"/>
    <s v="6/23/2023"/>
    <n v="1019"/>
    <x v="2"/>
    <x v="3"/>
    <n v="6"/>
    <n v="502.21"/>
    <n v="0.06"/>
    <x v="1"/>
    <n v="2"/>
    <n v="2.6"/>
    <n v="2832.46"/>
  </r>
  <r>
    <n v="10540"/>
    <s v="6/24/2023"/>
    <n v="1320"/>
    <x v="1"/>
    <x v="0"/>
    <n v="2"/>
    <n v="26.25"/>
    <n v="0.08"/>
    <x v="2"/>
    <n v="7"/>
    <n v="1.3"/>
    <n v="48.3"/>
  </r>
  <r>
    <n v="10541"/>
    <s v="6/25/2023"/>
    <n v="1775"/>
    <x v="1"/>
    <x v="0"/>
    <n v="5"/>
    <n v="80.64"/>
    <n v="0.23"/>
    <x v="0"/>
    <n v="9"/>
    <n v="2.7"/>
    <n v="310.45999999999998"/>
  </r>
  <r>
    <n v="10542"/>
    <s v="6/26/2023"/>
    <n v="1511"/>
    <x v="1"/>
    <x v="3"/>
    <n v="4"/>
    <n v="594.48"/>
    <n v="0.16"/>
    <x v="1"/>
    <n v="2"/>
    <n v="2.2000000000000002"/>
    <n v="1997.45"/>
  </r>
  <r>
    <n v="10543"/>
    <s v="6/27/2023"/>
    <n v="1399"/>
    <x v="2"/>
    <x v="0"/>
    <n v="2"/>
    <n v="179.03"/>
    <n v="0.17"/>
    <x v="2"/>
    <n v="9"/>
    <n v="3.4"/>
    <n v="297.19"/>
  </r>
  <r>
    <n v="10544"/>
    <s v="6/28/2023"/>
    <n v="1653"/>
    <x v="3"/>
    <x v="1"/>
    <n v="3"/>
    <n v="585.69000000000005"/>
    <n v="0.04"/>
    <x v="0"/>
    <n v="9"/>
    <n v="2.9"/>
    <n v="1686.79"/>
  </r>
  <r>
    <n v="10545"/>
    <s v="6/29/2023"/>
    <n v="1971"/>
    <x v="2"/>
    <x v="0"/>
    <n v="4"/>
    <n v="121.78"/>
    <n v="0.28000000000000003"/>
    <x v="1"/>
    <n v="8"/>
    <n v="2.2000000000000002"/>
    <n v="350.73"/>
  </r>
  <r>
    <n v="10546"/>
    <s v="6/30/2023"/>
    <n v="1882"/>
    <x v="2"/>
    <x v="3"/>
    <n v="2"/>
    <n v="226.24"/>
    <n v="0.22"/>
    <x v="1"/>
    <n v="1"/>
    <n v="4.4000000000000004"/>
    <n v="352.93"/>
  </r>
  <r>
    <n v="10547"/>
    <s v="7/1/2023"/>
    <n v="1470"/>
    <x v="0"/>
    <x v="1"/>
    <n v="1"/>
    <n v="455.43"/>
    <n v="0.05"/>
    <x v="1"/>
    <n v="5"/>
    <n v="2.6"/>
    <n v="432.66"/>
  </r>
  <r>
    <n v="10548"/>
    <s v="7/2/2023"/>
    <n v="1142"/>
    <x v="3"/>
    <x v="1"/>
    <n v="3"/>
    <n v="399.8"/>
    <n v="0.13"/>
    <x v="1"/>
    <n v="10"/>
    <n v="2.9"/>
    <n v="1043.48"/>
  </r>
  <r>
    <n v="10549"/>
    <s v="7/3/2023"/>
    <n v="1091"/>
    <x v="2"/>
    <x v="0"/>
    <n v="2"/>
    <n v="354.96"/>
    <n v="0.28000000000000003"/>
    <x v="1"/>
    <n v="11"/>
    <n v="4.4000000000000004"/>
    <n v="511.14"/>
  </r>
  <r>
    <n v="10550"/>
    <s v="7/4/2023"/>
    <n v="1353"/>
    <x v="2"/>
    <x v="2"/>
    <n v="6"/>
    <n v="324.99"/>
    <n v="0.2"/>
    <x v="2"/>
    <n v="4"/>
    <n v="1.4"/>
    <n v="1559.95"/>
  </r>
  <r>
    <n v="10551"/>
    <s v="7/5/2023"/>
    <n v="1833"/>
    <x v="2"/>
    <x v="1"/>
    <n v="1"/>
    <n v="508.41"/>
    <n v="0.04"/>
    <x v="1"/>
    <n v="7"/>
    <n v="2.6"/>
    <n v="488.07"/>
  </r>
  <r>
    <n v="10552"/>
    <s v="7/6/2023"/>
    <n v="1799"/>
    <x v="2"/>
    <x v="3"/>
    <n v="3"/>
    <n v="152.44"/>
    <n v="0.13"/>
    <x v="0"/>
    <n v="11"/>
    <n v="2.6"/>
    <n v="397.87"/>
  </r>
  <r>
    <n v="10553"/>
    <s v="7/7/2023"/>
    <n v="1726"/>
    <x v="2"/>
    <x v="2"/>
    <n v="5"/>
    <n v="273.85000000000002"/>
    <n v="0.08"/>
    <x v="1"/>
    <n v="8"/>
    <n v="3"/>
    <n v="1259.71"/>
  </r>
  <r>
    <n v="10554"/>
    <s v="7/8/2023"/>
    <n v="1958"/>
    <x v="2"/>
    <x v="2"/>
    <n v="7"/>
    <n v="105.94"/>
    <n v="0.18"/>
    <x v="2"/>
    <n v="10"/>
    <n v="1.4"/>
    <n v="608.1"/>
  </r>
  <r>
    <n v="10555"/>
    <s v="7/9/2023"/>
    <n v="1853"/>
    <x v="1"/>
    <x v="1"/>
    <n v="3"/>
    <n v="363.63"/>
    <n v="0.3"/>
    <x v="2"/>
    <n v="11"/>
    <n v="1.4"/>
    <n v="763.62"/>
  </r>
  <r>
    <n v="10556"/>
    <s v="7/10/2023"/>
    <n v="1050"/>
    <x v="3"/>
    <x v="0"/>
    <n v="6"/>
    <n v="161.57"/>
    <n v="0.15"/>
    <x v="0"/>
    <n v="8"/>
    <n v="2.7"/>
    <n v="824.01"/>
  </r>
  <r>
    <n v="10557"/>
    <s v="7/11/2023"/>
    <n v="1664"/>
    <x v="1"/>
    <x v="2"/>
    <n v="5"/>
    <n v="210.3"/>
    <n v="0.15"/>
    <x v="2"/>
    <n v="2"/>
    <n v="1.1000000000000001"/>
    <n v="893.78"/>
  </r>
  <r>
    <n v="10558"/>
    <s v="7/12/2023"/>
    <n v="1697"/>
    <x v="3"/>
    <x v="0"/>
    <n v="5"/>
    <n v="290.68"/>
    <n v="0.32"/>
    <x v="1"/>
    <n v="3"/>
    <n v="2"/>
    <n v="988.31"/>
  </r>
  <r>
    <n v="10559"/>
    <s v="7/13/2023"/>
    <n v="1574"/>
    <x v="2"/>
    <x v="1"/>
    <n v="5"/>
    <n v="30.66"/>
    <n v="0.2"/>
    <x v="0"/>
    <n v="10"/>
    <n v="1.8"/>
    <n v="122.64"/>
  </r>
  <r>
    <n v="10560"/>
    <s v="7/14/2023"/>
    <n v="1189"/>
    <x v="0"/>
    <x v="3"/>
    <n v="4"/>
    <n v="68.78"/>
    <n v="0.2"/>
    <x v="1"/>
    <n v="10"/>
    <n v="3"/>
    <n v="220.1"/>
  </r>
  <r>
    <n v="10561"/>
    <s v="7/15/2023"/>
    <n v="1124"/>
    <x v="3"/>
    <x v="2"/>
    <n v="4"/>
    <n v="416.27"/>
    <n v="0.09"/>
    <x v="1"/>
    <n v="7"/>
    <n v="1"/>
    <n v="1515.22"/>
  </r>
  <r>
    <n v="10562"/>
    <s v="7/16/2023"/>
    <n v="1149"/>
    <x v="3"/>
    <x v="3"/>
    <n v="7"/>
    <n v="265.95"/>
    <n v="0.21"/>
    <x v="1"/>
    <n v="4"/>
    <n v="3.7"/>
    <n v="1470.7"/>
  </r>
  <r>
    <n v="10563"/>
    <s v="7/17/2023"/>
    <n v="1313"/>
    <x v="3"/>
    <x v="0"/>
    <n v="5"/>
    <n v="520.9"/>
    <n v="0.2"/>
    <x v="2"/>
    <n v="6"/>
    <n v="4.4000000000000004"/>
    <n v="2083.6"/>
  </r>
  <r>
    <n v="10564"/>
    <s v="7/18/2023"/>
    <n v="1569"/>
    <x v="0"/>
    <x v="0"/>
    <n v="7"/>
    <n v="421.38"/>
    <n v="0.14000000000000001"/>
    <x v="1"/>
    <n v="8"/>
    <n v="3.8"/>
    <n v="2536.71"/>
  </r>
  <r>
    <n v="10565"/>
    <s v="7/19/2023"/>
    <n v="1341"/>
    <x v="1"/>
    <x v="3"/>
    <n v="1"/>
    <n v="19.739999999999998"/>
    <n v="0.35"/>
    <x v="2"/>
    <n v="8"/>
    <n v="4.3"/>
    <n v="12.83"/>
  </r>
  <r>
    <n v="10566"/>
    <s v="7/20/2023"/>
    <n v="1304"/>
    <x v="2"/>
    <x v="1"/>
    <n v="5"/>
    <n v="375.78"/>
    <n v="0.31"/>
    <x v="2"/>
    <n v="7"/>
    <n v="3.6"/>
    <n v="1296.44"/>
  </r>
  <r>
    <n v="10567"/>
    <s v="7/21/2023"/>
    <n v="1691"/>
    <x v="1"/>
    <x v="1"/>
    <n v="2"/>
    <n v="69.83"/>
    <n v="0.26"/>
    <x v="0"/>
    <n v="2"/>
    <n v="3"/>
    <n v="103.35"/>
  </r>
  <r>
    <n v="10568"/>
    <s v="7/22/2023"/>
    <n v="1681"/>
    <x v="3"/>
    <x v="2"/>
    <n v="5"/>
    <n v="471.85"/>
    <n v="0.19"/>
    <x v="1"/>
    <n v="2"/>
    <n v="1.9"/>
    <n v="1910.99"/>
  </r>
  <r>
    <n v="10569"/>
    <s v="7/23/2023"/>
    <n v="1837"/>
    <x v="3"/>
    <x v="2"/>
    <n v="4"/>
    <n v="595.03"/>
    <n v="0.16"/>
    <x v="1"/>
    <n v="3"/>
    <n v="2.1"/>
    <n v="1999.3"/>
  </r>
  <r>
    <n v="10570"/>
    <s v="7/24/2023"/>
    <n v="1782"/>
    <x v="1"/>
    <x v="1"/>
    <n v="4"/>
    <n v="325.75"/>
    <n v="0.06"/>
    <x v="1"/>
    <n v="4"/>
    <n v="2.2999999999999998"/>
    <n v="1224.82"/>
  </r>
  <r>
    <n v="10571"/>
    <s v="7/25/2023"/>
    <n v="1053"/>
    <x v="2"/>
    <x v="1"/>
    <n v="2"/>
    <n v="414.43"/>
    <n v="0.11"/>
    <x v="1"/>
    <n v="1"/>
    <n v="1.2"/>
    <n v="737.69"/>
  </r>
  <r>
    <n v="10572"/>
    <s v="7/26/2023"/>
    <n v="1443"/>
    <x v="1"/>
    <x v="3"/>
    <n v="2"/>
    <n v="153.83000000000001"/>
    <n v="0.27"/>
    <x v="2"/>
    <n v="5"/>
    <n v="4.7"/>
    <n v="224.59"/>
  </r>
  <r>
    <n v="10573"/>
    <s v="7/27/2023"/>
    <n v="1612"/>
    <x v="0"/>
    <x v="0"/>
    <n v="3"/>
    <n v="270.99"/>
    <n v="0.16"/>
    <x v="2"/>
    <n v="7"/>
    <n v="4.5999999999999996"/>
    <n v="682.89"/>
  </r>
  <r>
    <n v="10574"/>
    <s v="7/28/2023"/>
    <n v="1992"/>
    <x v="1"/>
    <x v="0"/>
    <n v="1"/>
    <n v="515.82000000000005"/>
    <n v="0.31"/>
    <x v="2"/>
    <n v="10"/>
    <n v="1.4"/>
    <n v="355.92"/>
  </r>
  <r>
    <n v="10575"/>
    <s v="7/29/2023"/>
    <n v="1263"/>
    <x v="1"/>
    <x v="2"/>
    <n v="1"/>
    <n v="112.94"/>
    <n v="0.05"/>
    <x v="0"/>
    <n v="11"/>
    <n v="3.2"/>
    <n v="107.29"/>
  </r>
  <r>
    <n v="10576"/>
    <s v="7/30/2023"/>
    <n v="1052"/>
    <x v="2"/>
    <x v="1"/>
    <n v="1"/>
    <n v="170.34"/>
    <n v="0.18"/>
    <x v="0"/>
    <n v="5"/>
    <n v="2.9"/>
    <n v="139.68"/>
  </r>
  <r>
    <n v="10577"/>
    <s v="7/31/2023"/>
    <n v="1571"/>
    <x v="1"/>
    <x v="3"/>
    <n v="6"/>
    <n v="275.58"/>
    <n v="0.23"/>
    <x v="1"/>
    <n v="7"/>
    <n v="3.7"/>
    <n v="1273.18"/>
  </r>
  <r>
    <n v="10578"/>
    <s v="8/1/2023"/>
    <n v="1619"/>
    <x v="0"/>
    <x v="2"/>
    <n v="4"/>
    <n v="431.67"/>
    <n v="0.18"/>
    <x v="0"/>
    <n v="5"/>
    <n v="3.4"/>
    <n v="1415.88"/>
  </r>
  <r>
    <n v="10579"/>
    <s v="8/2/2023"/>
    <n v="1004"/>
    <x v="3"/>
    <x v="3"/>
    <n v="1"/>
    <n v="234.89"/>
    <n v="0.31"/>
    <x v="1"/>
    <n v="11"/>
    <n v="1.5"/>
    <n v="162.07"/>
  </r>
  <r>
    <n v="10580"/>
    <s v="8/3/2023"/>
    <n v="1102"/>
    <x v="3"/>
    <x v="1"/>
    <n v="3"/>
    <n v="557.72"/>
    <n v="0.35"/>
    <x v="2"/>
    <n v="10"/>
    <n v="3.6"/>
    <n v="1087.55"/>
  </r>
  <r>
    <n v="10581"/>
    <s v="8/4/2023"/>
    <n v="1195"/>
    <x v="1"/>
    <x v="1"/>
    <n v="3"/>
    <n v="70.260000000000005"/>
    <n v="0.04"/>
    <x v="2"/>
    <n v="8"/>
    <n v="3.4"/>
    <n v="202.35"/>
  </r>
  <r>
    <n v="10582"/>
    <s v="8/5/2023"/>
    <n v="1773"/>
    <x v="1"/>
    <x v="1"/>
    <n v="1"/>
    <n v="231.92"/>
    <n v="0.05"/>
    <x v="0"/>
    <n v="7"/>
    <n v="3.1"/>
    <n v="220.32"/>
  </r>
  <r>
    <n v="10583"/>
    <s v="8/6/2023"/>
    <n v="1876"/>
    <x v="2"/>
    <x v="0"/>
    <n v="2"/>
    <n v="429.74"/>
    <n v="0.05"/>
    <x v="2"/>
    <n v="1"/>
    <n v="2.6"/>
    <n v="816.51"/>
  </r>
  <r>
    <n v="10584"/>
    <s v="8/7/2023"/>
    <n v="1991"/>
    <x v="3"/>
    <x v="1"/>
    <n v="3"/>
    <n v="147.19999999999999"/>
    <n v="0.24"/>
    <x v="2"/>
    <n v="11"/>
    <n v="4.8"/>
    <n v="335.62"/>
  </r>
  <r>
    <n v="10585"/>
    <s v="8/8/2023"/>
    <n v="1883"/>
    <x v="1"/>
    <x v="2"/>
    <n v="7"/>
    <n v="399"/>
    <n v="0.13"/>
    <x v="0"/>
    <n v="1"/>
    <n v="4.4000000000000004"/>
    <n v="2429.91"/>
  </r>
  <r>
    <n v="10586"/>
    <s v="8/9/2023"/>
    <n v="1349"/>
    <x v="1"/>
    <x v="0"/>
    <n v="2"/>
    <n v="111.07"/>
    <n v="0.26"/>
    <x v="2"/>
    <n v="5"/>
    <n v="3.3"/>
    <n v="164.38"/>
  </r>
  <r>
    <n v="10587"/>
    <s v="8/10/2023"/>
    <n v="1046"/>
    <x v="1"/>
    <x v="3"/>
    <n v="7"/>
    <n v="47.75"/>
    <n v="0.14000000000000001"/>
    <x v="2"/>
    <n v="2"/>
    <n v="1"/>
    <n v="287.45999999999998"/>
  </r>
  <r>
    <n v="10588"/>
    <s v="8/11/2023"/>
    <n v="1866"/>
    <x v="0"/>
    <x v="2"/>
    <n v="4"/>
    <n v="85.79"/>
    <n v="0.22"/>
    <x v="1"/>
    <n v="9"/>
    <n v="2.7"/>
    <n v="267.66000000000003"/>
  </r>
  <r>
    <n v="10589"/>
    <s v="8/12/2023"/>
    <n v="1822"/>
    <x v="2"/>
    <x v="2"/>
    <n v="6"/>
    <n v="559.04"/>
    <n v="0.27"/>
    <x v="1"/>
    <n v="2"/>
    <n v="3.8"/>
    <n v="2448.6"/>
  </r>
  <r>
    <n v="10590"/>
    <s v="8/13/2023"/>
    <n v="1935"/>
    <x v="3"/>
    <x v="3"/>
    <n v="3"/>
    <n v="337.77"/>
    <n v="0.19"/>
    <x v="0"/>
    <n v="9"/>
    <n v="1.5"/>
    <n v="820.78"/>
  </r>
  <r>
    <n v="10591"/>
    <s v="8/14/2023"/>
    <n v="1819"/>
    <x v="2"/>
    <x v="0"/>
    <n v="2"/>
    <n v="480.86"/>
    <n v="0.19"/>
    <x v="2"/>
    <n v="10"/>
    <n v="2.6"/>
    <n v="778.99"/>
  </r>
  <r>
    <n v="10592"/>
    <s v="8/15/2023"/>
    <n v="1655"/>
    <x v="1"/>
    <x v="2"/>
    <n v="7"/>
    <n v="209.6"/>
    <n v="0.03"/>
    <x v="2"/>
    <n v="2"/>
    <n v="1.8"/>
    <n v="1423.18"/>
  </r>
  <r>
    <n v="10593"/>
    <s v="8/16/2023"/>
    <n v="1268"/>
    <x v="2"/>
    <x v="2"/>
    <n v="1"/>
    <n v="361.71"/>
    <n v="0.14000000000000001"/>
    <x v="1"/>
    <n v="4"/>
    <n v="2.4"/>
    <n v="311.07"/>
  </r>
  <r>
    <n v="10594"/>
    <s v="8/17/2023"/>
    <n v="1369"/>
    <x v="2"/>
    <x v="2"/>
    <n v="7"/>
    <n v="304.55"/>
    <n v="0.19"/>
    <x v="1"/>
    <n v="3"/>
    <n v="1.1000000000000001"/>
    <n v="1726.8"/>
  </r>
  <r>
    <n v="10595"/>
    <s v="8/18/2023"/>
    <n v="1635"/>
    <x v="1"/>
    <x v="0"/>
    <n v="7"/>
    <n v="568.26"/>
    <n v="0.16"/>
    <x v="1"/>
    <n v="6"/>
    <n v="1.5"/>
    <n v="3341.37"/>
  </r>
  <r>
    <n v="10596"/>
    <s v="8/19/2023"/>
    <n v="1105"/>
    <x v="2"/>
    <x v="0"/>
    <n v="4"/>
    <n v="452.33"/>
    <n v="0.32"/>
    <x v="2"/>
    <n v="4"/>
    <n v="2.8"/>
    <n v="1230.3399999999999"/>
  </r>
  <r>
    <n v="10597"/>
    <s v="8/20/2023"/>
    <n v="1669"/>
    <x v="1"/>
    <x v="0"/>
    <n v="5"/>
    <n v="442.37"/>
    <n v="0.32"/>
    <x v="1"/>
    <n v="9"/>
    <n v="4.5999999999999996"/>
    <n v="1504.06"/>
  </r>
  <r>
    <n v="10598"/>
    <s v="8/21/2023"/>
    <n v="1658"/>
    <x v="0"/>
    <x v="2"/>
    <n v="5"/>
    <n v="42.12"/>
    <n v="0.28999999999999998"/>
    <x v="1"/>
    <n v="9"/>
    <n v="3"/>
    <n v="149.53"/>
  </r>
  <r>
    <n v="10599"/>
    <s v="8/22/2023"/>
    <n v="1656"/>
    <x v="2"/>
    <x v="1"/>
    <n v="1"/>
    <n v="336.56"/>
    <n v="0.13"/>
    <x v="2"/>
    <n v="10"/>
    <n v="2.8"/>
    <n v="292.81"/>
  </r>
  <r>
    <n v="10600"/>
    <s v="8/23/2023"/>
    <n v="1119"/>
    <x v="3"/>
    <x v="3"/>
    <n v="4"/>
    <n v="288.19"/>
    <n v="0.25"/>
    <x v="2"/>
    <n v="9"/>
    <n v="4.2"/>
    <n v="864.57"/>
  </r>
  <r>
    <n v="10601"/>
    <s v="8/24/2023"/>
    <n v="1830"/>
    <x v="1"/>
    <x v="1"/>
    <n v="4"/>
    <n v="557.79"/>
    <n v="0.14000000000000001"/>
    <x v="1"/>
    <n v="3"/>
    <n v="2.1"/>
    <n v="1918.8"/>
  </r>
  <r>
    <n v="10602"/>
    <s v="8/25/2023"/>
    <n v="1786"/>
    <x v="3"/>
    <x v="0"/>
    <n v="4"/>
    <n v="165.55"/>
    <n v="0.08"/>
    <x v="2"/>
    <n v="3"/>
    <n v="1.4"/>
    <n v="609.22"/>
  </r>
  <r>
    <n v="10603"/>
    <s v="8/26/2023"/>
    <n v="1603"/>
    <x v="2"/>
    <x v="2"/>
    <n v="4"/>
    <n v="172.85"/>
    <n v="0.12"/>
    <x v="0"/>
    <n v="4"/>
    <n v="1.8"/>
    <n v="608.42999999999995"/>
  </r>
  <r>
    <n v="10604"/>
    <s v="8/27/2023"/>
    <n v="1057"/>
    <x v="2"/>
    <x v="2"/>
    <n v="5"/>
    <n v="255.64"/>
    <n v="0.02"/>
    <x v="2"/>
    <n v="9"/>
    <n v="4.2"/>
    <n v="1252.6400000000001"/>
  </r>
  <r>
    <n v="10605"/>
    <s v="8/28/2023"/>
    <n v="1950"/>
    <x v="2"/>
    <x v="1"/>
    <n v="2"/>
    <n v="157.37"/>
    <n v="0.12"/>
    <x v="0"/>
    <n v="6"/>
    <n v="3.7"/>
    <n v="276.97000000000003"/>
  </r>
  <r>
    <n v="10606"/>
    <s v="8/29/2023"/>
    <n v="1345"/>
    <x v="2"/>
    <x v="1"/>
    <n v="4"/>
    <n v="90.57"/>
    <n v="0.16"/>
    <x v="0"/>
    <n v="9"/>
    <n v="1.4"/>
    <n v="304.32"/>
  </r>
  <r>
    <n v="10607"/>
    <s v="8/30/2023"/>
    <n v="1740"/>
    <x v="2"/>
    <x v="3"/>
    <n v="2"/>
    <n v="516.59"/>
    <n v="0.33"/>
    <x v="1"/>
    <n v="8"/>
    <n v="3.7"/>
    <n v="692.23"/>
  </r>
  <r>
    <n v="10608"/>
    <s v="8/31/2023"/>
    <n v="1473"/>
    <x v="3"/>
    <x v="2"/>
    <n v="7"/>
    <n v="341.59"/>
    <n v="0.11"/>
    <x v="1"/>
    <n v="7"/>
    <n v="4.7"/>
    <n v="2128.11"/>
  </r>
  <r>
    <n v="10609"/>
    <s v="9/1/2023"/>
    <n v="1116"/>
    <x v="0"/>
    <x v="1"/>
    <n v="7"/>
    <n v="518.9"/>
    <n v="0.32"/>
    <x v="2"/>
    <n v="5"/>
    <n v="1.2"/>
    <n v="2469.96"/>
  </r>
  <r>
    <n v="10610"/>
    <s v="9/2/2023"/>
    <n v="1829"/>
    <x v="3"/>
    <x v="3"/>
    <n v="4"/>
    <n v="501.21"/>
    <n v="0.08"/>
    <x v="2"/>
    <n v="9"/>
    <n v="3.5"/>
    <n v="1844.45"/>
  </r>
  <r>
    <n v="10611"/>
    <s v="9/3/2023"/>
    <n v="1790"/>
    <x v="3"/>
    <x v="0"/>
    <n v="3"/>
    <n v="179.99"/>
    <n v="7.0000000000000007E-2"/>
    <x v="1"/>
    <n v="4"/>
    <n v="2.5"/>
    <n v="502.17"/>
  </r>
  <r>
    <n v="10612"/>
    <s v="9/4/2023"/>
    <n v="1126"/>
    <x v="2"/>
    <x v="1"/>
    <n v="6"/>
    <n v="335.43"/>
    <n v="0.18"/>
    <x v="1"/>
    <n v="4"/>
    <n v="3"/>
    <n v="1650.32"/>
  </r>
  <r>
    <n v="10613"/>
    <s v="9/5/2023"/>
    <n v="1392"/>
    <x v="2"/>
    <x v="0"/>
    <n v="3"/>
    <n v="63.68"/>
    <n v="0.24"/>
    <x v="2"/>
    <n v="8"/>
    <n v="3.1"/>
    <n v="145.19"/>
  </r>
  <r>
    <n v="10614"/>
    <s v="9/6/2023"/>
    <n v="1907"/>
    <x v="2"/>
    <x v="3"/>
    <n v="7"/>
    <n v="550.41999999999996"/>
    <n v="0.02"/>
    <x v="1"/>
    <n v="4"/>
    <n v="4.0999999999999996"/>
    <n v="3775.88"/>
  </r>
  <r>
    <n v="10615"/>
    <s v="9/7/2023"/>
    <n v="1640"/>
    <x v="2"/>
    <x v="0"/>
    <n v="6"/>
    <n v="251.49"/>
    <n v="0.08"/>
    <x v="0"/>
    <n v="7"/>
    <n v="3.2"/>
    <n v="1388.22"/>
  </r>
  <r>
    <n v="10616"/>
    <s v="9/8/2023"/>
    <n v="1057"/>
    <x v="1"/>
    <x v="2"/>
    <n v="3"/>
    <n v="245.3"/>
    <n v="0.16"/>
    <x v="1"/>
    <n v="4"/>
    <n v="3.4"/>
    <n v="618.16"/>
  </r>
  <r>
    <n v="10617"/>
    <s v="9/9/2023"/>
    <n v="1633"/>
    <x v="1"/>
    <x v="2"/>
    <n v="4"/>
    <n v="192.11"/>
    <n v="0.12"/>
    <x v="0"/>
    <n v="11"/>
    <n v="2.2999999999999998"/>
    <n v="676.23"/>
  </r>
  <r>
    <n v="10618"/>
    <s v="9/10/2023"/>
    <n v="1512"/>
    <x v="1"/>
    <x v="0"/>
    <n v="2"/>
    <n v="284.49"/>
    <n v="0.25"/>
    <x v="1"/>
    <n v="1"/>
    <n v="1.5"/>
    <n v="426.74"/>
  </r>
  <r>
    <n v="10619"/>
    <s v="9/11/2023"/>
    <n v="1750"/>
    <x v="1"/>
    <x v="2"/>
    <n v="6"/>
    <n v="162.28"/>
    <n v="0.18"/>
    <x v="1"/>
    <n v="10"/>
    <n v="3.7"/>
    <n v="798.42"/>
  </r>
  <r>
    <n v="10620"/>
    <s v="9/12/2023"/>
    <n v="1801"/>
    <x v="3"/>
    <x v="3"/>
    <n v="5"/>
    <n v="234.29"/>
    <n v="0.06"/>
    <x v="1"/>
    <n v="9"/>
    <n v="1"/>
    <n v="1101.1600000000001"/>
  </r>
  <r>
    <n v="10621"/>
    <s v="9/13/2023"/>
    <n v="1095"/>
    <x v="3"/>
    <x v="2"/>
    <n v="1"/>
    <n v="482.97"/>
    <n v="0.31"/>
    <x v="0"/>
    <n v="4"/>
    <n v="2.2999999999999998"/>
    <n v="333.25"/>
  </r>
  <r>
    <n v="10622"/>
    <s v="9/14/2023"/>
    <n v="1637"/>
    <x v="2"/>
    <x v="0"/>
    <n v="6"/>
    <n v="503.04"/>
    <n v="0.1"/>
    <x v="1"/>
    <n v="3"/>
    <n v="1.9"/>
    <n v="2716.42"/>
  </r>
  <r>
    <n v="10623"/>
    <s v="9/15/2023"/>
    <n v="1117"/>
    <x v="0"/>
    <x v="0"/>
    <n v="6"/>
    <n v="192.95"/>
    <n v="0.26"/>
    <x v="2"/>
    <n v="3"/>
    <n v="2.6"/>
    <n v="856.7"/>
  </r>
  <r>
    <n v="10624"/>
    <s v="9/16/2023"/>
    <n v="1559"/>
    <x v="0"/>
    <x v="0"/>
    <n v="5"/>
    <n v="289.37"/>
    <n v="0.27"/>
    <x v="0"/>
    <n v="9"/>
    <n v="2.2000000000000002"/>
    <n v="1056.2"/>
  </r>
  <r>
    <n v="10625"/>
    <s v="9/17/2023"/>
    <n v="1600"/>
    <x v="2"/>
    <x v="1"/>
    <n v="4"/>
    <n v="526.17999999999995"/>
    <n v="0.34"/>
    <x v="2"/>
    <n v="8"/>
    <n v="3.8"/>
    <n v="1389.12"/>
  </r>
  <r>
    <n v="10626"/>
    <s v="9/18/2023"/>
    <n v="1487"/>
    <x v="1"/>
    <x v="0"/>
    <n v="3"/>
    <n v="45.81"/>
    <n v="0.17"/>
    <x v="1"/>
    <n v="10"/>
    <n v="2"/>
    <n v="114.07"/>
  </r>
  <r>
    <n v="10627"/>
    <s v="9/19/2023"/>
    <n v="1236"/>
    <x v="1"/>
    <x v="3"/>
    <n v="3"/>
    <n v="535.15"/>
    <n v="0.22"/>
    <x v="0"/>
    <n v="7"/>
    <n v="3.2"/>
    <n v="1252.25"/>
  </r>
  <r>
    <n v="10628"/>
    <s v="9/20/2023"/>
    <n v="1884"/>
    <x v="0"/>
    <x v="2"/>
    <n v="7"/>
    <n v="143.22"/>
    <n v="0.12"/>
    <x v="0"/>
    <n v="7"/>
    <n v="2.8"/>
    <n v="882.24"/>
  </r>
  <r>
    <n v="10629"/>
    <s v="9/21/2023"/>
    <n v="1896"/>
    <x v="0"/>
    <x v="2"/>
    <n v="2"/>
    <n v="411.95"/>
    <n v="0.24"/>
    <x v="1"/>
    <n v="4"/>
    <n v="4.2"/>
    <n v="626.16"/>
  </r>
  <r>
    <n v="10630"/>
    <s v="9/22/2023"/>
    <n v="1271"/>
    <x v="2"/>
    <x v="1"/>
    <n v="4"/>
    <n v="355.79"/>
    <n v="0.16"/>
    <x v="2"/>
    <n v="3"/>
    <n v="2.7"/>
    <n v="1195.45"/>
  </r>
  <r>
    <n v="10631"/>
    <s v="9/23/2023"/>
    <n v="1188"/>
    <x v="1"/>
    <x v="1"/>
    <n v="5"/>
    <n v="338.47"/>
    <n v="0.15"/>
    <x v="0"/>
    <n v="4"/>
    <n v="4.5"/>
    <n v="1438.5"/>
  </r>
  <r>
    <n v="10632"/>
    <s v="9/24/2023"/>
    <n v="1998"/>
    <x v="1"/>
    <x v="3"/>
    <n v="4"/>
    <n v="517.73"/>
    <n v="0.3"/>
    <x v="0"/>
    <n v="6"/>
    <n v="1"/>
    <n v="1449.64"/>
  </r>
  <r>
    <n v="10633"/>
    <s v="9/25/2023"/>
    <n v="1703"/>
    <x v="1"/>
    <x v="0"/>
    <n v="4"/>
    <n v="74.42"/>
    <n v="0.02"/>
    <x v="1"/>
    <n v="4"/>
    <n v="3.4"/>
    <n v="291.73"/>
  </r>
  <r>
    <n v="10634"/>
    <s v="9/26/2023"/>
    <n v="1446"/>
    <x v="2"/>
    <x v="1"/>
    <n v="3"/>
    <n v="218.01"/>
    <n v="0.31"/>
    <x v="0"/>
    <n v="4"/>
    <n v="1"/>
    <n v="451.28"/>
  </r>
  <r>
    <n v="10635"/>
    <s v="9/27/2023"/>
    <n v="1580"/>
    <x v="0"/>
    <x v="2"/>
    <n v="5"/>
    <n v="329.88"/>
    <n v="0.3"/>
    <x v="1"/>
    <n v="2"/>
    <n v="3.9"/>
    <n v="1154.58"/>
  </r>
  <r>
    <n v="10636"/>
    <s v="9/28/2023"/>
    <n v="1789"/>
    <x v="3"/>
    <x v="1"/>
    <n v="1"/>
    <n v="489.6"/>
    <n v="0.18"/>
    <x v="1"/>
    <n v="7"/>
    <n v="1.9"/>
    <n v="401.47"/>
  </r>
  <r>
    <n v="10637"/>
    <s v="9/29/2023"/>
    <n v="1860"/>
    <x v="3"/>
    <x v="1"/>
    <n v="6"/>
    <n v="141.62"/>
    <n v="0.17"/>
    <x v="1"/>
    <n v="6"/>
    <n v="2.5"/>
    <n v="705.27"/>
  </r>
  <r>
    <n v="10638"/>
    <s v="9/30/2023"/>
    <n v="1246"/>
    <x v="0"/>
    <x v="0"/>
    <n v="3"/>
    <n v="484.71"/>
    <n v="0.13"/>
    <x v="1"/>
    <n v="2"/>
    <n v="2.5"/>
    <n v="1265.0899999999999"/>
  </r>
  <r>
    <n v="10639"/>
    <s v="10/1/2023"/>
    <n v="1962"/>
    <x v="3"/>
    <x v="1"/>
    <n v="5"/>
    <n v="248.79"/>
    <n v="0.35"/>
    <x v="2"/>
    <n v="5"/>
    <n v="4.4000000000000004"/>
    <n v="808.57"/>
  </r>
  <r>
    <n v="10640"/>
    <s v="10/2/2023"/>
    <n v="1075"/>
    <x v="1"/>
    <x v="3"/>
    <n v="2"/>
    <n v="125.51"/>
    <n v="0.04"/>
    <x v="2"/>
    <n v="6"/>
    <n v="1.4"/>
    <n v="240.98"/>
  </r>
  <r>
    <n v="10641"/>
    <s v="10/3/2023"/>
    <n v="1153"/>
    <x v="1"/>
    <x v="2"/>
    <n v="6"/>
    <n v="459.01"/>
    <n v="0.21"/>
    <x v="1"/>
    <n v="5"/>
    <n v="3.7"/>
    <n v="2175.71"/>
  </r>
  <r>
    <n v="10642"/>
    <s v="10/4/2023"/>
    <n v="1655"/>
    <x v="2"/>
    <x v="0"/>
    <n v="6"/>
    <n v="68.180000000000007"/>
    <n v="0.24"/>
    <x v="1"/>
    <n v="4"/>
    <n v="4.9000000000000004"/>
    <n v="310.89999999999998"/>
  </r>
  <r>
    <n v="10643"/>
    <s v="10/5/2023"/>
    <n v="1434"/>
    <x v="3"/>
    <x v="2"/>
    <n v="3"/>
    <n v="316.14"/>
    <n v="0.33"/>
    <x v="1"/>
    <n v="11"/>
    <n v="1.1000000000000001"/>
    <n v="635.44000000000005"/>
  </r>
  <r>
    <n v="10644"/>
    <s v="10/6/2023"/>
    <n v="1996"/>
    <x v="2"/>
    <x v="3"/>
    <n v="7"/>
    <n v="52.37"/>
    <n v="0.27"/>
    <x v="0"/>
    <n v="11"/>
    <n v="4.9000000000000004"/>
    <n v="267.61"/>
  </r>
  <r>
    <n v="10645"/>
    <s v="10/7/2023"/>
    <n v="1085"/>
    <x v="3"/>
    <x v="3"/>
    <n v="2"/>
    <n v="223.5"/>
    <n v="0.23"/>
    <x v="0"/>
    <n v="9"/>
    <n v="1.1000000000000001"/>
    <n v="344.19"/>
  </r>
  <r>
    <n v="10646"/>
    <s v="10/8/2023"/>
    <n v="1696"/>
    <x v="2"/>
    <x v="1"/>
    <n v="3"/>
    <n v="366.63"/>
    <n v="0.04"/>
    <x v="1"/>
    <n v="3"/>
    <n v="4.4000000000000004"/>
    <n v="1055.8900000000001"/>
  </r>
  <r>
    <n v="10647"/>
    <s v="10/9/2023"/>
    <n v="1284"/>
    <x v="2"/>
    <x v="1"/>
    <n v="4"/>
    <n v="340.33"/>
    <n v="0.13"/>
    <x v="0"/>
    <n v="11"/>
    <n v="4.8"/>
    <n v="1184.3499999999999"/>
  </r>
  <r>
    <n v="10648"/>
    <s v="10/10/2023"/>
    <n v="1973"/>
    <x v="2"/>
    <x v="1"/>
    <n v="7"/>
    <n v="251.72"/>
    <n v="0.05"/>
    <x v="1"/>
    <n v="2"/>
    <n v="5"/>
    <n v="1673.94"/>
  </r>
  <r>
    <n v="10649"/>
    <s v="10/11/2023"/>
    <n v="1219"/>
    <x v="2"/>
    <x v="2"/>
    <n v="5"/>
    <n v="265.99"/>
    <n v="0.31"/>
    <x v="2"/>
    <n v="9"/>
    <n v="2.8"/>
    <n v="917.67"/>
  </r>
  <r>
    <n v="10650"/>
    <s v="10/12/2023"/>
    <n v="1068"/>
    <x v="3"/>
    <x v="3"/>
    <n v="2"/>
    <n v="147.66"/>
    <n v="0.26"/>
    <x v="0"/>
    <n v="8"/>
    <n v="4.5"/>
    <n v="218.54"/>
  </r>
  <r>
    <n v="10651"/>
    <s v="10/13/2023"/>
    <n v="1046"/>
    <x v="3"/>
    <x v="0"/>
    <n v="6"/>
    <n v="281.69"/>
    <n v="0.27"/>
    <x v="1"/>
    <n v="9"/>
    <n v="1.5"/>
    <n v="1233.8"/>
  </r>
  <r>
    <n v="10652"/>
    <s v="10/14/2023"/>
    <n v="1093"/>
    <x v="1"/>
    <x v="1"/>
    <n v="3"/>
    <n v="572.65"/>
    <n v="0.23"/>
    <x v="2"/>
    <n v="10"/>
    <n v="2.7"/>
    <n v="1322.82"/>
  </r>
  <r>
    <n v="10653"/>
    <s v="10/15/2023"/>
    <n v="1749"/>
    <x v="2"/>
    <x v="2"/>
    <n v="6"/>
    <n v="512.51"/>
    <n v="0.18"/>
    <x v="1"/>
    <n v="11"/>
    <n v="2.2000000000000002"/>
    <n v="2521.5500000000002"/>
  </r>
  <r>
    <n v="10654"/>
    <s v="10/16/2023"/>
    <n v="1957"/>
    <x v="2"/>
    <x v="1"/>
    <n v="2"/>
    <n v="99.96"/>
    <n v="0.05"/>
    <x v="1"/>
    <n v="3"/>
    <n v="2.6"/>
    <n v="189.92"/>
  </r>
  <r>
    <n v="10655"/>
    <s v="10/17/2023"/>
    <n v="1452"/>
    <x v="2"/>
    <x v="3"/>
    <n v="6"/>
    <n v="32.42"/>
    <n v="0.12"/>
    <x v="2"/>
    <n v="1"/>
    <n v="3.8"/>
    <n v="171.18"/>
  </r>
  <r>
    <n v="10656"/>
    <s v="10/18/2023"/>
    <n v="1203"/>
    <x v="2"/>
    <x v="0"/>
    <n v="3"/>
    <n v="561.11"/>
    <n v="0.05"/>
    <x v="0"/>
    <n v="11"/>
    <n v="1.3"/>
    <n v="1599.16"/>
  </r>
  <r>
    <n v="10657"/>
    <s v="10/19/2023"/>
    <n v="1911"/>
    <x v="0"/>
    <x v="3"/>
    <n v="7"/>
    <n v="323.14999999999998"/>
    <n v="0.25"/>
    <x v="2"/>
    <n v="1"/>
    <n v="5"/>
    <n v="1696.54"/>
  </r>
  <r>
    <n v="10658"/>
    <s v="10/20/2023"/>
    <n v="1217"/>
    <x v="2"/>
    <x v="2"/>
    <n v="3"/>
    <n v="329.64"/>
    <n v="0.06"/>
    <x v="0"/>
    <n v="3"/>
    <n v="3.5"/>
    <n v="929.58"/>
  </r>
  <r>
    <n v="10659"/>
    <s v="10/21/2023"/>
    <n v="1473"/>
    <x v="1"/>
    <x v="1"/>
    <n v="1"/>
    <n v="471.72"/>
    <n v="0.25"/>
    <x v="0"/>
    <n v="4"/>
    <n v="4.5"/>
    <n v="353.79"/>
  </r>
  <r>
    <n v="10660"/>
    <s v="10/22/2023"/>
    <n v="1431"/>
    <x v="2"/>
    <x v="3"/>
    <n v="6"/>
    <n v="199.09"/>
    <n v="0.24"/>
    <x v="1"/>
    <n v="2"/>
    <n v="4.3"/>
    <n v="907.85"/>
  </r>
  <r>
    <n v="10661"/>
    <s v="10/23/2023"/>
    <n v="1340"/>
    <x v="2"/>
    <x v="2"/>
    <n v="1"/>
    <n v="296.92"/>
    <n v="0.16"/>
    <x v="1"/>
    <n v="8"/>
    <n v="4.0999999999999996"/>
    <n v="249.41"/>
  </r>
  <r>
    <n v="10662"/>
    <s v="10/24/2023"/>
    <n v="1550"/>
    <x v="1"/>
    <x v="1"/>
    <n v="7"/>
    <n v="581.66999999999996"/>
    <n v="0.05"/>
    <x v="2"/>
    <n v="3"/>
    <n v="1.2"/>
    <n v="3868.11"/>
  </r>
  <r>
    <n v="10663"/>
    <s v="10/25/2023"/>
    <n v="1611"/>
    <x v="1"/>
    <x v="0"/>
    <n v="1"/>
    <n v="408.21"/>
    <n v="0.11"/>
    <x v="2"/>
    <n v="4"/>
    <n v="3.1"/>
    <n v="363.31"/>
  </r>
  <r>
    <n v="10664"/>
    <s v="10/26/2023"/>
    <n v="1288"/>
    <x v="2"/>
    <x v="3"/>
    <n v="6"/>
    <n v="104.94"/>
    <n v="0.11"/>
    <x v="1"/>
    <n v="6"/>
    <n v="2.2999999999999998"/>
    <n v="560.38"/>
  </r>
  <r>
    <n v="10665"/>
    <s v="10/27/2023"/>
    <n v="1253"/>
    <x v="2"/>
    <x v="1"/>
    <n v="2"/>
    <n v="92.94"/>
    <n v="0.25"/>
    <x v="0"/>
    <n v="10"/>
    <n v="1.5"/>
    <n v="139.41"/>
  </r>
  <r>
    <n v="10666"/>
    <s v="10/28/2023"/>
    <n v="1733"/>
    <x v="1"/>
    <x v="1"/>
    <n v="4"/>
    <n v="134.49"/>
    <n v="0.04"/>
    <x v="2"/>
    <n v="6"/>
    <n v="2.4"/>
    <n v="516.44000000000005"/>
  </r>
  <r>
    <n v="10667"/>
    <s v="10/29/2023"/>
    <n v="1356"/>
    <x v="2"/>
    <x v="1"/>
    <n v="7"/>
    <n v="463.53"/>
    <n v="0.28999999999999998"/>
    <x v="1"/>
    <n v="2"/>
    <n v="3.6"/>
    <n v="2303.7399999999998"/>
  </r>
  <r>
    <n v="10668"/>
    <s v="10/30/2023"/>
    <n v="1022"/>
    <x v="2"/>
    <x v="1"/>
    <n v="3"/>
    <n v="187.8"/>
    <n v="0.27"/>
    <x v="2"/>
    <n v="6"/>
    <n v="1.9"/>
    <n v="411.28"/>
  </r>
  <r>
    <n v="10669"/>
    <s v="10/31/2023"/>
    <n v="1761"/>
    <x v="0"/>
    <x v="3"/>
    <n v="5"/>
    <n v="27.51"/>
    <n v="7.0000000000000007E-2"/>
    <x v="1"/>
    <n v="4"/>
    <n v="2.8"/>
    <n v="127.92"/>
  </r>
  <r>
    <n v="10670"/>
    <s v="11/1/2023"/>
    <n v="1521"/>
    <x v="1"/>
    <x v="1"/>
    <n v="7"/>
    <n v="567.34"/>
    <n v="0.25"/>
    <x v="2"/>
    <n v="5"/>
    <n v="2.6"/>
    <n v="2978.54"/>
  </r>
  <r>
    <n v="10671"/>
    <s v="11/2/2023"/>
    <n v="1757"/>
    <x v="1"/>
    <x v="2"/>
    <n v="1"/>
    <n v="114.28"/>
    <n v="0.23"/>
    <x v="0"/>
    <n v="7"/>
    <n v="1.2"/>
    <n v="88"/>
  </r>
  <r>
    <n v="10672"/>
    <s v="11/3/2023"/>
    <n v="1836"/>
    <x v="1"/>
    <x v="3"/>
    <n v="2"/>
    <n v="20.59"/>
    <n v="0.26"/>
    <x v="0"/>
    <n v="7"/>
    <n v="3.5"/>
    <n v="30.47"/>
  </r>
  <r>
    <n v="10673"/>
    <s v="11/4/2023"/>
    <n v="1099"/>
    <x v="1"/>
    <x v="1"/>
    <n v="6"/>
    <n v="153.72"/>
    <n v="7.0000000000000007E-2"/>
    <x v="1"/>
    <n v="6"/>
    <n v="3.5"/>
    <n v="857.76"/>
  </r>
  <r>
    <n v="10674"/>
    <s v="11/5/2023"/>
    <n v="1801"/>
    <x v="1"/>
    <x v="3"/>
    <n v="2"/>
    <n v="152.49"/>
    <n v="0.06"/>
    <x v="2"/>
    <n v="10"/>
    <n v="4.9000000000000004"/>
    <n v="286.68"/>
  </r>
  <r>
    <n v="10675"/>
    <s v="11/6/2023"/>
    <n v="1179"/>
    <x v="3"/>
    <x v="2"/>
    <n v="2"/>
    <n v="261.87"/>
    <n v="0.08"/>
    <x v="2"/>
    <n v="6"/>
    <n v="2.2000000000000002"/>
    <n v="481.84"/>
  </r>
  <r>
    <n v="10676"/>
    <s v="11/7/2023"/>
    <n v="1222"/>
    <x v="3"/>
    <x v="2"/>
    <n v="6"/>
    <n v="553.42999999999995"/>
    <n v="0.13"/>
    <x v="1"/>
    <n v="6"/>
    <n v="2.7"/>
    <n v="2888.9"/>
  </r>
  <r>
    <n v="10677"/>
    <s v="11/8/2023"/>
    <n v="1905"/>
    <x v="2"/>
    <x v="3"/>
    <n v="5"/>
    <n v="529.32000000000005"/>
    <n v="0.28000000000000003"/>
    <x v="1"/>
    <n v="4"/>
    <n v="2.6"/>
    <n v="1905.55"/>
  </r>
  <r>
    <n v="10678"/>
    <s v="11/9/2023"/>
    <n v="1761"/>
    <x v="1"/>
    <x v="1"/>
    <n v="6"/>
    <n v="282.27999999999997"/>
    <n v="0.26"/>
    <x v="2"/>
    <n v="3"/>
    <n v="4.7"/>
    <n v="1253.32"/>
  </r>
  <r>
    <n v="10679"/>
    <s v="11/10/2023"/>
    <n v="1658"/>
    <x v="1"/>
    <x v="1"/>
    <n v="5"/>
    <n v="255.38"/>
    <n v="0.32"/>
    <x v="2"/>
    <n v="1"/>
    <n v="2.6"/>
    <n v="868.29"/>
  </r>
  <r>
    <n v="10680"/>
    <s v="11/11/2023"/>
    <n v="1441"/>
    <x v="0"/>
    <x v="2"/>
    <n v="6"/>
    <n v="339.68"/>
    <n v="0.02"/>
    <x v="1"/>
    <n v="3"/>
    <n v="2.8"/>
    <n v="1997.32"/>
  </r>
  <r>
    <n v="10681"/>
    <s v="11/12/2023"/>
    <n v="1607"/>
    <x v="1"/>
    <x v="1"/>
    <n v="1"/>
    <n v="157.41999999999999"/>
    <n v="0"/>
    <x v="1"/>
    <n v="3"/>
    <n v="2"/>
    <n v="157.41999999999999"/>
  </r>
  <r>
    <n v="10682"/>
    <s v="11/13/2023"/>
    <n v="1768"/>
    <x v="1"/>
    <x v="2"/>
    <n v="5"/>
    <n v="45.53"/>
    <n v="0.24"/>
    <x v="1"/>
    <n v="9"/>
    <n v="1"/>
    <n v="173.01"/>
  </r>
  <r>
    <n v="10683"/>
    <s v="11/14/2023"/>
    <n v="1324"/>
    <x v="2"/>
    <x v="1"/>
    <n v="1"/>
    <n v="564.45000000000005"/>
    <n v="0.1"/>
    <x v="1"/>
    <n v="3"/>
    <n v="1.4"/>
    <n v="508.01"/>
  </r>
  <r>
    <n v="10684"/>
    <s v="11/15/2023"/>
    <n v="1515"/>
    <x v="1"/>
    <x v="2"/>
    <n v="7"/>
    <n v="124.22"/>
    <n v="0.12"/>
    <x v="2"/>
    <n v="8"/>
    <n v="3.8"/>
    <n v="765.2"/>
  </r>
  <r>
    <n v="10685"/>
    <s v="11/16/2023"/>
    <n v="1015"/>
    <x v="2"/>
    <x v="0"/>
    <n v="5"/>
    <n v="131.06"/>
    <n v="0.19"/>
    <x v="1"/>
    <n v="8"/>
    <n v="3.7"/>
    <n v="530.79"/>
  </r>
  <r>
    <n v="10686"/>
    <s v="11/17/2023"/>
    <n v="1791"/>
    <x v="2"/>
    <x v="1"/>
    <n v="5"/>
    <n v="291.39"/>
    <n v="0.04"/>
    <x v="1"/>
    <n v="3"/>
    <n v="2.2999999999999998"/>
    <n v="1398.67"/>
  </r>
  <r>
    <n v="10687"/>
    <s v="11/18/2023"/>
    <n v="1335"/>
    <x v="2"/>
    <x v="1"/>
    <n v="6"/>
    <n v="302.58999999999997"/>
    <n v="0.22"/>
    <x v="0"/>
    <n v="10"/>
    <n v="2.9"/>
    <n v="1416.12"/>
  </r>
  <r>
    <n v="10688"/>
    <s v="11/19/2023"/>
    <n v="1758"/>
    <x v="3"/>
    <x v="1"/>
    <n v="5"/>
    <n v="25.78"/>
    <n v="0.11"/>
    <x v="1"/>
    <n v="10"/>
    <n v="2.2000000000000002"/>
    <n v="114.72"/>
  </r>
  <r>
    <n v="10689"/>
    <s v="11/20/2023"/>
    <n v="1257"/>
    <x v="2"/>
    <x v="3"/>
    <n v="1"/>
    <n v="101.55"/>
    <n v="0.22"/>
    <x v="2"/>
    <n v="6"/>
    <n v="3.9"/>
    <n v="79.209999999999994"/>
  </r>
  <r>
    <n v="10690"/>
    <s v="11/21/2023"/>
    <n v="1496"/>
    <x v="1"/>
    <x v="1"/>
    <n v="7"/>
    <n v="236.22"/>
    <n v="0.28999999999999998"/>
    <x v="0"/>
    <n v="8"/>
    <n v="4.4000000000000004"/>
    <n v="1174.01"/>
  </r>
  <r>
    <n v="10691"/>
    <s v="11/22/2023"/>
    <n v="1987"/>
    <x v="0"/>
    <x v="3"/>
    <n v="6"/>
    <n v="414.98"/>
    <n v="0.06"/>
    <x v="2"/>
    <n v="8"/>
    <n v="4.5999999999999996"/>
    <n v="2340.4899999999998"/>
  </r>
  <r>
    <n v="10692"/>
    <s v="11/23/2023"/>
    <n v="1895"/>
    <x v="2"/>
    <x v="3"/>
    <n v="3"/>
    <n v="148.62"/>
    <n v="0.33"/>
    <x v="2"/>
    <n v="10"/>
    <n v="1.7"/>
    <n v="298.73"/>
  </r>
  <r>
    <n v="10693"/>
    <s v="11/24/2023"/>
    <n v="1159"/>
    <x v="1"/>
    <x v="2"/>
    <n v="7"/>
    <n v="262.45999999999998"/>
    <n v="0.19"/>
    <x v="1"/>
    <n v="10"/>
    <n v="3.8"/>
    <n v="1488.15"/>
  </r>
  <r>
    <n v="10694"/>
    <s v="11/25/2023"/>
    <n v="1474"/>
    <x v="1"/>
    <x v="3"/>
    <n v="7"/>
    <n v="341.05"/>
    <n v="0.32"/>
    <x v="1"/>
    <n v="9"/>
    <n v="4.9000000000000004"/>
    <n v="1623.4"/>
  </r>
  <r>
    <n v="10695"/>
    <s v="11/26/2023"/>
    <n v="1851"/>
    <x v="2"/>
    <x v="3"/>
    <n v="1"/>
    <n v="534.83000000000004"/>
    <n v="7.0000000000000007E-2"/>
    <x v="2"/>
    <n v="9"/>
    <n v="3.6"/>
    <n v="497.39"/>
  </r>
  <r>
    <n v="10696"/>
    <s v="11/27/2023"/>
    <n v="1663"/>
    <x v="3"/>
    <x v="0"/>
    <n v="7"/>
    <n v="205.75"/>
    <n v="0.21"/>
    <x v="2"/>
    <n v="8"/>
    <n v="2.4"/>
    <n v="1137.8"/>
  </r>
  <r>
    <n v="10697"/>
    <s v="11/28/2023"/>
    <n v="1907"/>
    <x v="2"/>
    <x v="1"/>
    <n v="3"/>
    <n v="93.13"/>
    <n v="0.14000000000000001"/>
    <x v="1"/>
    <n v="7"/>
    <n v="3.5"/>
    <n v="240.28"/>
  </r>
  <r>
    <n v="10698"/>
    <s v="11/29/2023"/>
    <n v="1689"/>
    <x v="1"/>
    <x v="3"/>
    <n v="2"/>
    <n v="301.22000000000003"/>
    <n v="0.27"/>
    <x v="2"/>
    <n v="10"/>
    <n v="3.8"/>
    <n v="439.78"/>
  </r>
  <r>
    <n v="10699"/>
    <s v="11/30/2023"/>
    <n v="1674"/>
    <x v="1"/>
    <x v="1"/>
    <n v="6"/>
    <n v="451.83"/>
    <n v="0.21"/>
    <x v="0"/>
    <n v="3"/>
    <n v="2.6"/>
    <n v="2141.67"/>
  </r>
  <r>
    <n v="10700"/>
    <s v="12/1/2023"/>
    <n v="1379"/>
    <x v="1"/>
    <x v="3"/>
    <n v="2"/>
    <n v="79.27"/>
    <n v="0.17"/>
    <x v="1"/>
    <n v="7"/>
    <n v="1.4"/>
    <n v="131.59"/>
  </r>
  <r>
    <n v="10701"/>
    <s v="12/2/2023"/>
    <n v="1544"/>
    <x v="3"/>
    <x v="2"/>
    <n v="6"/>
    <n v="263.44"/>
    <n v="0.32"/>
    <x v="2"/>
    <n v="4"/>
    <n v="3.4"/>
    <n v="1074.8399999999999"/>
  </r>
  <r>
    <n v="10702"/>
    <s v="12/3/2023"/>
    <n v="1928"/>
    <x v="2"/>
    <x v="0"/>
    <n v="7"/>
    <n v="25.4"/>
    <n v="0.13"/>
    <x v="2"/>
    <n v="2"/>
    <n v="4.2"/>
    <n v="154.69"/>
  </r>
  <r>
    <n v="10703"/>
    <s v="12/4/2023"/>
    <n v="1956"/>
    <x v="2"/>
    <x v="3"/>
    <n v="6"/>
    <n v="34.630000000000003"/>
    <n v="0.08"/>
    <x v="0"/>
    <n v="8"/>
    <n v="5"/>
    <n v="191.16"/>
  </r>
  <r>
    <n v="10704"/>
    <s v="12/5/2023"/>
    <n v="1690"/>
    <x v="3"/>
    <x v="1"/>
    <n v="1"/>
    <n v="297.52999999999997"/>
    <n v="0.21"/>
    <x v="0"/>
    <n v="2"/>
    <n v="1.9"/>
    <n v="235.05"/>
  </r>
  <r>
    <n v="10705"/>
    <s v="12/6/2023"/>
    <n v="1426"/>
    <x v="1"/>
    <x v="2"/>
    <n v="3"/>
    <n v="189.45"/>
    <n v="0.22"/>
    <x v="2"/>
    <n v="1"/>
    <n v="3.8"/>
    <n v="443.31"/>
  </r>
  <r>
    <n v="10706"/>
    <s v="12/7/2023"/>
    <n v="1612"/>
    <x v="3"/>
    <x v="1"/>
    <n v="6"/>
    <n v="509.39"/>
    <n v="0.15"/>
    <x v="1"/>
    <n v="5"/>
    <n v="1.1000000000000001"/>
    <n v="2597.89"/>
  </r>
  <r>
    <n v="10707"/>
    <s v="12/8/2023"/>
    <n v="1267"/>
    <x v="3"/>
    <x v="2"/>
    <n v="3"/>
    <n v="367.26"/>
    <n v="0.17"/>
    <x v="1"/>
    <n v="10"/>
    <n v="4.9000000000000004"/>
    <n v="914.48"/>
  </r>
  <r>
    <n v="10708"/>
    <s v="12/9/2023"/>
    <n v="1834"/>
    <x v="3"/>
    <x v="0"/>
    <n v="6"/>
    <n v="280.55"/>
    <n v="0.34"/>
    <x v="1"/>
    <n v="9"/>
    <n v="1.1000000000000001"/>
    <n v="1110.98"/>
  </r>
  <r>
    <n v="10709"/>
    <s v="12/10/2023"/>
    <n v="1576"/>
    <x v="1"/>
    <x v="2"/>
    <n v="3"/>
    <n v="253.64"/>
    <n v="0.26"/>
    <x v="2"/>
    <n v="5"/>
    <n v="2.4"/>
    <n v="563.08000000000004"/>
  </r>
  <r>
    <n v="10710"/>
    <s v="12/11/2023"/>
    <n v="1416"/>
    <x v="2"/>
    <x v="1"/>
    <n v="2"/>
    <n v="305.89"/>
    <n v="0.04"/>
    <x v="2"/>
    <n v="11"/>
    <n v="1.3"/>
    <n v="587.30999999999995"/>
  </r>
  <r>
    <n v="10711"/>
    <s v="12/12/2023"/>
    <n v="1167"/>
    <x v="3"/>
    <x v="1"/>
    <n v="1"/>
    <n v="38.659999999999997"/>
    <n v="7.0000000000000007E-2"/>
    <x v="0"/>
    <n v="2"/>
    <n v="3.5"/>
    <n v="35.950000000000003"/>
  </r>
  <r>
    <n v="10712"/>
    <s v="12/13/2023"/>
    <n v="1841"/>
    <x v="1"/>
    <x v="3"/>
    <n v="6"/>
    <n v="537.28"/>
    <n v="0.34"/>
    <x v="2"/>
    <n v="10"/>
    <n v="2.4"/>
    <n v="2127.63"/>
  </r>
  <r>
    <n v="10713"/>
    <s v="12/14/2023"/>
    <n v="1042"/>
    <x v="2"/>
    <x v="2"/>
    <n v="4"/>
    <n v="599.01"/>
    <n v="0.25"/>
    <x v="2"/>
    <n v="4"/>
    <n v="3.9"/>
    <n v="1797.03"/>
  </r>
  <r>
    <n v="10714"/>
    <s v="12/15/2023"/>
    <n v="1555"/>
    <x v="0"/>
    <x v="1"/>
    <n v="3"/>
    <n v="121.17"/>
    <n v="0.32"/>
    <x v="2"/>
    <n v="8"/>
    <n v="2.9"/>
    <n v="247.19"/>
  </r>
  <r>
    <n v="10715"/>
    <s v="12/16/2023"/>
    <n v="1284"/>
    <x v="0"/>
    <x v="3"/>
    <n v="3"/>
    <n v="85.42"/>
    <n v="0.11"/>
    <x v="1"/>
    <n v="7"/>
    <n v="2.7"/>
    <n v="228.07"/>
  </r>
  <r>
    <n v="10716"/>
    <s v="12/17/2023"/>
    <n v="1396"/>
    <x v="1"/>
    <x v="0"/>
    <n v="4"/>
    <n v="98.99"/>
    <n v="0.26"/>
    <x v="2"/>
    <n v="5"/>
    <n v="2.4"/>
    <n v="293.01"/>
  </r>
  <r>
    <n v="10717"/>
    <s v="12/18/2023"/>
    <n v="1011"/>
    <x v="2"/>
    <x v="1"/>
    <n v="1"/>
    <n v="401.7"/>
    <n v="0.25"/>
    <x v="2"/>
    <n v="4"/>
    <n v="1.3"/>
    <n v="301.27"/>
  </r>
  <r>
    <n v="10718"/>
    <s v="12/19/2023"/>
    <n v="1606"/>
    <x v="1"/>
    <x v="3"/>
    <n v="3"/>
    <n v="401.94"/>
    <n v="0.1"/>
    <x v="0"/>
    <n v="5"/>
    <n v="1.8"/>
    <n v="1085.24"/>
  </r>
  <r>
    <n v="10719"/>
    <s v="12/20/2023"/>
    <n v="1301"/>
    <x v="3"/>
    <x v="1"/>
    <n v="1"/>
    <n v="511.04"/>
    <n v="0.19"/>
    <x v="1"/>
    <n v="7"/>
    <n v="3.6"/>
    <n v="413.94"/>
  </r>
  <r>
    <n v="10720"/>
    <s v="12/21/2023"/>
    <n v="1897"/>
    <x v="0"/>
    <x v="2"/>
    <n v="3"/>
    <n v="454.82"/>
    <n v="0.22"/>
    <x v="0"/>
    <n v="5"/>
    <n v="3"/>
    <n v="1064.28"/>
  </r>
  <r>
    <n v="10721"/>
    <s v="12/22/2023"/>
    <n v="1252"/>
    <x v="2"/>
    <x v="3"/>
    <n v="7"/>
    <n v="278.07"/>
    <n v="0.17"/>
    <x v="2"/>
    <n v="8"/>
    <n v="1.3"/>
    <n v="1615.59"/>
  </r>
  <r>
    <n v="10722"/>
    <s v="12/23/2023"/>
    <n v="1498"/>
    <x v="2"/>
    <x v="2"/>
    <n v="5"/>
    <n v="373.52"/>
    <n v="0.28999999999999998"/>
    <x v="1"/>
    <n v="7"/>
    <n v="3.2"/>
    <n v="1326"/>
  </r>
  <r>
    <n v="10723"/>
    <s v="12/24/2023"/>
    <n v="1753"/>
    <x v="0"/>
    <x v="0"/>
    <n v="7"/>
    <n v="417.65"/>
    <n v="0.28999999999999998"/>
    <x v="1"/>
    <n v="7"/>
    <n v="1.2"/>
    <n v="2075.7199999999998"/>
  </r>
  <r>
    <n v="10724"/>
    <s v="12/25/2023"/>
    <n v="1034"/>
    <x v="1"/>
    <x v="2"/>
    <n v="3"/>
    <n v="314.95"/>
    <n v="0.3"/>
    <x v="1"/>
    <n v="9"/>
    <n v="3"/>
    <n v="661.39"/>
  </r>
  <r>
    <n v="10725"/>
    <s v="12/26/2023"/>
    <n v="1726"/>
    <x v="1"/>
    <x v="3"/>
    <n v="5"/>
    <n v="293.26"/>
    <n v="0.28000000000000003"/>
    <x v="2"/>
    <n v="8"/>
    <n v="4.9000000000000004"/>
    <n v="1055.74"/>
  </r>
  <r>
    <n v="10726"/>
    <s v="12/27/2023"/>
    <n v="1848"/>
    <x v="0"/>
    <x v="1"/>
    <n v="6"/>
    <n v="392.38"/>
    <n v="0.17"/>
    <x v="1"/>
    <n v="8"/>
    <n v="2.2000000000000002"/>
    <n v="1954.05"/>
  </r>
  <r>
    <n v="10727"/>
    <s v="12/28/2023"/>
    <n v="1089"/>
    <x v="2"/>
    <x v="3"/>
    <n v="1"/>
    <n v="341.12"/>
    <n v="0.13"/>
    <x v="1"/>
    <n v="6"/>
    <n v="3.9"/>
    <n v="296.77"/>
  </r>
  <r>
    <n v="10728"/>
    <s v="12/29/2023"/>
    <n v="1775"/>
    <x v="1"/>
    <x v="2"/>
    <n v="3"/>
    <n v="391.71"/>
    <n v="0.28999999999999998"/>
    <x v="0"/>
    <n v="7"/>
    <n v="4"/>
    <n v="834.34"/>
  </r>
  <r>
    <n v="10729"/>
    <s v="12/30/2023"/>
    <n v="1604"/>
    <x v="2"/>
    <x v="2"/>
    <n v="2"/>
    <n v="373.52"/>
    <n v="0.17"/>
    <x v="2"/>
    <n v="8"/>
    <n v="2.6"/>
    <n v="620.04"/>
  </r>
  <r>
    <n v="10730"/>
    <s v="12/31/2023"/>
    <n v="1921"/>
    <x v="1"/>
    <x v="1"/>
    <n v="2"/>
    <n v="435.73"/>
    <n v="0.09"/>
    <x v="2"/>
    <n v="5"/>
    <n v="3.4"/>
    <n v="793.03"/>
  </r>
  <r>
    <n v="10731"/>
    <s v="1/1/2024"/>
    <n v="1969"/>
    <x v="3"/>
    <x v="0"/>
    <n v="4"/>
    <n v="391.04"/>
    <n v="0.18"/>
    <x v="1"/>
    <n v="10"/>
    <n v="2.9"/>
    <n v="1282.6099999999999"/>
  </r>
  <r>
    <n v="10732"/>
    <s v="1/2/2024"/>
    <n v="1601"/>
    <x v="1"/>
    <x v="3"/>
    <n v="2"/>
    <n v="319.05"/>
    <n v="0.05"/>
    <x v="2"/>
    <n v="2"/>
    <n v="2.1"/>
    <n v="606.20000000000005"/>
  </r>
  <r>
    <n v="10733"/>
    <s v="1/3/2024"/>
    <n v="1417"/>
    <x v="0"/>
    <x v="1"/>
    <n v="5"/>
    <n v="413.85"/>
    <n v="0.24"/>
    <x v="1"/>
    <n v="7"/>
    <n v="4"/>
    <n v="1572.63"/>
  </r>
  <r>
    <n v="10734"/>
    <s v="1/4/2024"/>
    <n v="1114"/>
    <x v="1"/>
    <x v="1"/>
    <n v="2"/>
    <n v="277.95"/>
    <n v="0.12"/>
    <x v="0"/>
    <n v="10"/>
    <n v="3.8"/>
    <n v="489.19"/>
  </r>
  <r>
    <n v="10735"/>
    <s v="1/5/2024"/>
    <n v="1616"/>
    <x v="2"/>
    <x v="1"/>
    <n v="2"/>
    <n v="156.38"/>
    <n v="0.09"/>
    <x v="1"/>
    <n v="3"/>
    <n v="4.5999999999999996"/>
    <n v="284.61"/>
  </r>
  <r>
    <n v="10736"/>
    <s v="1/6/2024"/>
    <n v="1902"/>
    <x v="2"/>
    <x v="3"/>
    <n v="2"/>
    <n v="15.83"/>
    <n v="0.33"/>
    <x v="2"/>
    <n v="10"/>
    <n v="3.5"/>
    <n v="21.21"/>
  </r>
  <r>
    <n v="10737"/>
    <s v="1/7/2024"/>
    <n v="1195"/>
    <x v="1"/>
    <x v="3"/>
    <n v="3"/>
    <n v="342.58"/>
    <n v="0.27"/>
    <x v="2"/>
    <n v="11"/>
    <n v="2.6"/>
    <n v="750.25"/>
  </r>
  <r>
    <n v="10738"/>
    <s v="1/8/2024"/>
    <n v="1825"/>
    <x v="1"/>
    <x v="3"/>
    <n v="4"/>
    <n v="360.53"/>
    <n v="0.28000000000000003"/>
    <x v="2"/>
    <n v="8"/>
    <n v="3.9"/>
    <n v="1038.33"/>
  </r>
  <r>
    <n v="10739"/>
    <s v="1/9/2024"/>
    <n v="1500"/>
    <x v="2"/>
    <x v="0"/>
    <n v="1"/>
    <n v="583.65"/>
    <n v="0.22"/>
    <x v="0"/>
    <n v="6"/>
    <n v="3.5"/>
    <n v="455.25"/>
  </r>
  <r>
    <n v="10740"/>
    <s v="1/10/2024"/>
    <n v="1625"/>
    <x v="1"/>
    <x v="1"/>
    <n v="4"/>
    <n v="226.46"/>
    <n v="0.28999999999999998"/>
    <x v="1"/>
    <n v="11"/>
    <n v="3.5"/>
    <n v="643.15"/>
  </r>
  <r>
    <n v="10741"/>
    <s v="1/11/2024"/>
    <n v="1492"/>
    <x v="1"/>
    <x v="2"/>
    <n v="5"/>
    <n v="245.57"/>
    <n v="0.27"/>
    <x v="1"/>
    <n v="4"/>
    <n v="4.4000000000000004"/>
    <n v="896.33"/>
  </r>
  <r>
    <n v="10742"/>
    <s v="1/12/2024"/>
    <n v="1074"/>
    <x v="3"/>
    <x v="2"/>
    <n v="3"/>
    <n v="133.05000000000001"/>
    <n v="0.21"/>
    <x v="2"/>
    <n v="2"/>
    <n v="4.5999999999999996"/>
    <n v="315.33"/>
  </r>
  <r>
    <n v="10743"/>
    <s v="1/13/2024"/>
    <n v="1412"/>
    <x v="3"/>
    <x v="1"/>
    <n v="6"/>
    <n v="56.26"/>
    <n v="0.34"/>
    <x v="2"/>
    <n v="7"/>
    <n v="1.7"/>
    <n v="222.79"/>
  </r>
  <r>
    <n v="10744"/>
    <s v="1/14/2024"/>
    <n v="1375"/>
    <x v="3"/>
    <x v="2"/>
    <n v="3"/>
    <n v="467.09"/>
    <n v="7.0000000000000007E-2"/>
    <x v="1"/>
    <n v="1"/>
    <n v="2.2999999999999998"/>
    <n v="1303.18"/>
  </r>
  <r>
    <n v="10745"/>
    <s v="1/15/2024"/>
    <n v="1419"/>
    <x v="2"/>
    <x v="0"/>
    <n v="7"/>
    <n v="161.06"/>
    <n v="0.33"/>
    <x v="1"/>
    <n v="7"/>
    <n v="3.6"/>
    <n v="755.37"/>
  </r>
  <r>
    <n v="10746"/>
    <s v="1/16/2024"/>
    <n v="1728"/>
    <x v="2"/>
    <x v="0"/>
    <n v="2"/>
    <n v="371.21"/>
    <n v="0.14000000000000001"/>
    <x v="2"/>
    <n v="10"/>
    <n v="3.2"/>
    <n v="638.48"/>
  </r>
  <r>
    <n v="10747"/>
    <s v="1/17/2024"/>
    <n v="1276"/>
    <x v="3"/>
    <x v="3"/>
    <n v="2"/>
    <n v="417.35"/>
    <n v="0.18"/>
    <x v="0"/>
    <n v="10"/>
    <n v="3.6"/>
    <n v="684.45"/>
  </r>
  <r>
    <n v="10748"/>
    <s v="1/18/2024"/>
    <n v="1760"/>
    <x v="1"/>
    <x v="3"/>
    <n v="5"/>
    <n v="290.67"/>
    <n v="0.04"/>
    <x v="2"/>
    <n v="7"/>
    <n v="2.7"/>
    <n v="1395.22"/>
  </r>
  <r>
    <n v="10749"/>
    <s v="1/19/2024"/>
    <n v="1675"/>
    <x v="2"/>
    <x v="3"/>
    <n v="6"/>
    <n v="527.66999999999996"/>
    <n v="0.19"/>
    <x v="0"/>
    <n v="10"/>
    <n v="2.6"/>
    <n v="2564.48"/>
  </r>
  <r>
    <n v="10750"/>
    <s v="1/20/2024"/>
    <n v="1393"/>
    <x v="3"/>
    <x v="3"/>
    <n v="7"/>
    <n v="274.62"/>
    <n v="0.21"/>
    <x v="2"/>
    <n v="3"/>
    <n v="1.5"/>
    <n v="1518.65"/>
  </r>
  <r>
    <n v="10751"/>
    <s v="1/21/2024"/>
    <n v="1868"/>
    <x v="3"/>
    <x v="3"/>
    <n v="3"/>
    <n v="181.67"/>
    <n v="0.35"/>
    <x v="1"/>
    <n v="4"/>
    <n v="3.5"/>
    <n v="354.26"/>
  </r>
  <r>
    <n v="10752"/>
    <s v="1/22/2024"/>
    <n v="1456"/>
    <x v="1"/>
    <x v="2"/>
    <n v="6"/>
    <n v="539.16999999999996"/>
    <n v="0.34"/>
    <x v="1"/>
    <n v="4"/>
    <n v="1.7"/>
    <n v="2135.11"/>
  </r>
  <r>
    <n v="10753"/>
    <s v="1/23/2024"/>
    <n v="1919"/>
    <x v="2"/>
    <x v="2"/>
    <n v="1"/>
    <n v="519.02"/>
    <n v="0.34"/>
    <x v="2"/>
    <n v="4"/>
    <n v="3.7"/>
    <n v="342.55"/>
  </r>
  <r>
    <n v="10754"/>
    <s v="1/24/2024"/>
    <n v="1191"/>
    <x v="3"/>
    <x v="3"/>
    <n v="4"/>
    <n v="110.96"/>
    <n v="0.12"/>
    <x v="2"/>
    <n v="9"/>
    <n v="4.9000000000000004"/>
    <n v="390.58"/>
  </r>
  <r>
    <n v="10755"/>
    <s v="1/25/2024"/>
    <n v="1738"/>
    <x v="1"/>
    <x v="0"/>
    <n v="3"/>
    <n v="30.19"/>
    <n v="0.35"/>
    <x v="2"/>
    <n v="6"/>
    <n v="2"/>
    <n v="58.87"/>
  </r>
  <r>
    <n v="10756"/>
    <s v="1/26/2024"/>
    <n v="1688"/>
    <x v="3"/>
    <x v="2"/>
    <n v="6"/>
    <n v="67.64"/>
    <n v="0.16"/>
    <x v="2"/>
    <n v="10"/>
    <n v="1.6"/>
    <n v="340.91"/>
  </r>
  <r>
    <n v="10757"/>
    <s v="1/27/2024"/>
    <n v="1098"/>
    <x v="3"/>
    <x v="0"/>
    <n v="1"/>
    <n v="182.63"/>
    <n v="0.3"/>
    <x v="0"/>
    <n v="9"/>
    <n v="1.1000000000000001"/>
    <n v="127.84"/>
  </r>
  <r>
    <n v="10758"/>
    <s v="1/28/2024"/>
    <n v="1547"/>
    <x v="3"/>
    <x v="0"/>
    <n v="1"/>
    <n v="583.77"/>
    <n v="0.08"/>
    <x v="2"/>
    <n v="4"/>
    <n v="2.5"/>
    <n v="537.07000000000005"/>
  </r>
  <r>
    <n v="10759"/>
    <s v="1/29/2024"/>
    <n v="1977"/>
    <x v="1"/>
    <x v="1"/>
    <n v="7"/>
    <n v="341.73"/>
    <n v="0.18"/>
    <x v="1"/>
    <n v="7"/>
    <n v="1.9"/>
    <n v="1961.53"/>
  </r>
  <r>
    <n v="10760"/>
    <s v="1/30/2024"/>
    <n v="1998"/>
    <x v="2"/>
    <x v="1"/>
    <n v="7"/>
    <n v="233.36"/>
    <n v="0.34"/>
    <x v="1"/>
    <n v="10"/>
    <n v="3"/>
    <n v="1078.1199999999999"/>
  </r>
  <r>
    <n v="10761"/>
    <s v="1/31/2024"/>
    <n v="1095"/>
    <x v="3"/>
    <x v="3"/>
    <n v="4"/>
    <n v="534.9"/>
    <n v="0.33"/>
    <x v="2"/>
    <n v="9"/>
    <n v="3.1"/>
    <n v="1433.53"/>
  </r>
  <r>
    <n v="10762"/>
    <s v="2/1/2024"/>
    <n v="1663"/>
    <x v="1"/>
    <x v="0"/>
    <n v="1"/>
    <n v="280.08"/>
    <n v="0.24"/>
    <x v="0"/>
    <n v="10"/>
    <n v="2.4"/>
    <n v="212.86"/>
  </r>
  <r>
    <n v="10763"/>
    <s v="2/2/2024"/>
    <n v="1662"/>
    <x v="3"/>
    <x v="2"/>
    <n v="5"/>
    <n v="199.41"/>
    <n v="0.28000000000000003"/>
    <x v="1"/>
    <n v="3"/>
    <n v="4"/>
    <n v="717.88"/>
  </r>
  <r>
    <n v="10764"/>
    <s v="2/3/2024"/>
    <n v="1189"/>
    <x v="2"/>
    <x v="1"/>
    <n v="1"/>
    <n v="565.61"/>
    <n v="0.06"/>
    <x v="0"/>
    <n v="3"/>
    <n v="4.5999999999999996"/>
    <n v="531.66999999999996"/>
  </r>
  <r>
    <n v="10765"/>
    <s v="2/4/2024"/>
    <n v="1735"/>
    <x v="2"/>
    <x v="1"/>
    <n v="6"/>
    <n v="511.97"/>
    <n v="0.25"/>
    <x v="0"/>
    <n v="6"/>
    <n v="1.8"/>
    <n v="2303.87"/>
  </r>
  <r>
    <n v="10766"/>
    <s v="2/5/2024"/>
    <n v="1036"/>
    <x v="0"/>
    <x v="0"/>
    <n v="7"/>
    <n v="508.55"/>
    <n v="0.22"/>
    <x v="2"/>
    <n v="8"/>
    <n v="4.3"/>
    <n v="2776.68"/>
  </r>
  <r>
    <n v="10767"/>
    <s v="2/6/2024"/>
    <n v="1779"/>
    <x v="3"/>
    <x v="1"/>
    <n v="5"/>
    <n v="314.69"/>
    <n v="0.03"/>
    <x v="1"/>
    <n v="1"/>
    <n v="1.5"/>
    <n v="1526.25"/>
  </r>
  <r>
    <n v="10768"/>
    <s v="2/7/2024"/>
    <n v="1368"/>
    <x v="0"/>
    <x v="1"/>
    <n v="7"/>
    <n v="476.82"/>
    <n v="0.04"/>
    <x v="1"/>
    <n v="4"/>
    <n v="1.9"/>
    <n v="3204.23"/>
  </r>
  <r>
    <n v="10769"/>
    <s v="2/8/2024"/>
    <n v="1694"/>
    <x v="3"/>
    <x v="2"/>
    <n v="7"/>
    <n v="119.92"/>
    <n v="0.04"/>
    <x v="1"/>
    <n v="8"/>
    <n v="3.2"/>
    <n v="805.86"/>
  </r>
  <r>
    <n v="10770"/>
    <s v="2/9/2024"/>
    <n v="1524"/>
    <x v="1"/>
    <x v="0"/>
    <n v="7"/>
    <n v="350.34"/>
    <n v="0.25"/>
    <x v="1"/>
    <n v="6"/>
    <n v="2.2000000000000002"/>
    <n v="1839.28"/>
  </r>
  <r>
    <n v="10771"/>
    <s v="2/10/2024"/>
    <n v="1278"/>
    <x v="3"/>
    <x v="1"/>
    <n v="1"/>
    <n v="590.54999999999995"/>
    <n v="0.05"/>
    <x v="2"/>
    <n v="2"/>
    <n v="1.2"/>
    <n v="561.02"/>
  </r>
  <r>
    <n v="10772"/>
    <s v="2/11/2024"/>
    <n v="1216"/>
    <x v="0"/>
    <x v="0"/>
    <n v="2"/>
    <n v="185.21"/>
    <n v="0.16"/>
    <x v="1"/>
    <n v="8"/>
    <n v="2.2000000000000002"/>
    <n v="311.14999999999998"/>
  </r>
  <r>
    <n v="10773"/>
    <s v="2/12/2024"/>
    <n v="1866"/>
    <x v="1"/>
    <x v="1"/>
    <n v="1"/>
    <n v="479.7"/>
    <n v="0.12"/>
    <x v="2"/>
    <n v="1"/>
    <n v="4.5999999999999996"/>
    <n v="422.14"/>
  </r>
  <r>
    <n v="10774"/>
    <s v="2/13/2024"/>
    <n v="1872"/>
    <x v="1"/>
    <x v="2"/>
    <n v="7"/>
    <n v="301.93"/>
    <n v="0.19"/>
    <x v="1"/>
    <n v="1"/>
    <n v="1.7"/>
    <n v="1711.94"/>
  </r>
  <r>
    <n v="10775"/>
    <s v="2/14/2024"/>
    <n v="1797"/>
    <x v="2"/>
    <x v="0"/>
    <n v="5"/>
    <n v="38.29"/>
    <n v="0.25"/>
    <x v="1"/>
    <n v="7"/>
    <n v="4.0999999999999996"/>
    <n v="143.59"/>
  </r>
  <r>
    <n v="10776"/>
    <s v="2/15/2024"/>
    <n v="1272"/>
    <x v="1"/>
    <x v="1"/>
    <n v="1"/>
    <n v="461.37"/>
    <n v="0.24"/>
    <x v="2"/>
    <n v="10"/>
    <n v="3.9"/>
    <n v="350.64"/>
  </r>
  <r>
    <n v="10777"/>
    <s v="2/16/2024"/>
    <n v="1880"/>
    <x v="3"/>
    <x v="2"/>
    <n v="7"/>
    <n v="113.61"/>
    <n v="0.18"/>
    <x v="0"/>
    <n v="3"/>
    <n v="1.4"/>
    <n v="652.12"/>
  </r>
  <r>
    <n v="10778"/>
    <s v="2/17/2024"/>
    <n v="1061"/>
    <x v="2"/>
    <x v="1"/>
    <n v="7"/>
    <n v="384.41"/>
    <n v="0.16"/>
    <x v="2"/>
    <n v="8"/>
    <n v="2.2999999999999998"/>
    <n v="2260.33"/>
  </r>
  <r>
    <n v="10779"/>
    <s v="2/18/2024"/>
    <n v="1595"/>
    <x v="2"/>
    <x v="0"/>
    <n v="1"/>
    <n v="65.11"/>
    <n v="0.14000000000000001"/>
    <x v="2"/>
    <n v="9"/>
    <n v="1.8"/>
    <n v="55.99"/>
  </r>
  <r>
    <n v="10780"/>
    <s v="2/19/2024"/>
    <n v="1879"/>
    <x v="2"/>
    <x v="1"/>
    <n v="1"/>
    <n v="568.91999999999996"/>
    <n v="0.3"/>
    <x v="2"/>
    <n v="8"/>
    <n v="1.1000000000000001"/>
    <n v="398.24"/>
  </r>
  <r>
    <n v="10781"/>
    <s v="2/20/2024"/>
    <n v="1728"/>
    <x v="2"/>
    <x v="0"/>
    <n v="5"/>
    <n v="185.66"/>
    <n v="0.12"/>
    <x v="2"/>
    <n v="1"/>
    <n v="1.7"/>
    <n v="816.9"/>
  </r>
  <r>
    <n v="10782"/>
    <s v="2/21/2024"/>
    <n v="1341"/>
    <x v="2"/>
    <x v="0"/>
    <n v="1"/>
    <n v="147.47999999999999"/>
    <n v="0.09"/>
    <x v="0"/>
    <n v="1"/>
    <n v="1.8"/>
    <n v="134.21"/>
  </r>
  <r>
    <n v="10783"/>
    <s v="2/22/2024"/>
    <n v="1396"/>
    <x v="1"/>
    <x v="1"/>
    <n v="4"/>
    <n v="90.54"/>
    <n v="0.26"/>
    <x v="1"/>
    <n v="6"/>
    <n v="1.7"/>
    <n v="268"/>
  </r>
  <r>
    <n v="10784"/>
    <s v="2/23/2024"/>
    <n v="1698"/>
    <x v="0"/>
    <x v="2"/>
    <n v="6"/>
    <n v="568.41"/>
    <n v="0.13"/>
    <x v="0"/>
    <n v="1"/>
    <n v="1.4"/>
    <n v="2967.1"/>
  </r>
  <r>
    <n v="10785"/>
    <s v="2/24/2024"/>
    <n v="1018"/>
    <x v="1"/>
    <x v="3"/>
    <n v="4"/>
    <n v="431.46"/>
    <n v="0.3"/>
    <x v="1"/>
    <n v="8"/>
    <n v="3.1"/>
    <n v="1208.0899999999999"/>
  </r>
  <r>
    <n v="10786"/>
    <s v="2/25/2024"/>
    <n v="1176"/>
    <x v="2"/>
    <x v="2"/>
    <n v="5"/>
    <n v="448.87"/>
    <n v="0.11"/>
    <x v="0"/>
    <n v="6"/>
    <n v="2.2999999999999998"/>
    <n v="1997.47"/>
  </r>
  <r>
    <n v="10787"/>
    <s v="2/26/2024"/>
    <n v="1611"/>
    <x v="2"/>
    <x v="2"/>
    <n v="2"/>
    <n v="307.14999999999998"/>
    <n v="0.25"/>
    <x v="1"/>
    <n v="5"/>
    <n v="4.5999999999999996"/>
    <n v="460.72"/>
  </r>
  <r>
    <n v="10788"/>
    <s v="2/27/2024"/>
    <n v="1395"/>
    <x v="3"/>
    <x v="1"/>
    <n v="4"/>
    <n v="292.72000000000003"/>
    <n v="0.02"/>
    <x v="0"/>
    <n v="6"/>
    <n v="1.7"/>
    <n v="1147.46"/>
  </r>
  <r>
    <n v="10789"/>
    <s v="2/28/2024"/>
    <n v="1444"/>
    <x v="1"/>
    <x v="2"/>
    <n v="7"/>
    <n v="79.36"/>
    <n v="0.13"/>
    <x v="0"/>
    <n v="4"/>
    <n v="3.4"/>
    <n v="483.3"/>
  </r>
  <r>
    <n v="10790"/>
    <s v="2/29/2024"/>
    <n v="1232"/>
    <x v="3"/>
    <x v="2"/>
    <n v="6"/>
    <n v="342.51"/>
    <n v="0.12"/>
    <x v="1"/>
    <n v="1"/>
    <n v="4.5999999999999996"/>
    <n v="1808.45"/>
  </r>
  <r>
    <n v="10791"/>
    <s v="3/1/2024"/>
    <n v="1914"/>
    <x v="3"/>
    <x v="3"/>
    <n v="3"/>
    <n v="159.44999999999999"/>
    <n v="0.28999999999999998"/>
    <x v="0"/>
    <n v="7"/>
    <n v="1.2"/>
    <n v="339.63"/>
  </r>
  <r>
    <n v="10792"/>
    <s v="3/2/2024"/>
    <n v="1075"/>
    <x v="3"/>
    <x v="2"/>
    <n v="6"/>
    <n v="586.63"/>
    <n v="0.34"/>
    <x v="1"/>
    <n v="10"/>
    <n v="3.1"/>
    <n v="2323.0500000000002"/>
  </r>
  <r>
    <n v="10793"/>
    <s v="3/3/2024"/>
    <n v="1264"/>
    <x v="2"/>
    <x v="3"/>
    <n v="4"/>
    <n v="481"/>
    <n v="0.16"/>
    <x v="1"/>
    <n v="9"/>
    <n v="2.8"/>
    <n v="1616.16"/>
  </r>
  <r>
    <n v="10794"/>
    <s v="3/4/2024"/>
    <n v="1454"/>
    <x v="3"/>
    <x v="1"/>
    <n v="3"/>
    <n v="256.60000000000002"/>
    <n v="0.28999999999999998"/>
    <x v="1"/>
    <n v="4"/>
    <n v="4.7"/>
    <n v="546.55999999999995"/>
  </r>
  <r>
    <n v="10795"/>
    <s v="3/5/2024"/>
    <n v="1795"/>
    <x v="2"/>
    <x v="3"/>
    <n v="5"/>
    <n v="103.53"/>
    <n v="0.24"/>
    <x v="0"/>
    <n v="4"/>
    <n v="3.7"/>
    <n v="393.41"/>
  </r>
  <r>
    <n v="10796"/>
    <s v="3/6/2024"/>
    <n v="1717"/>
    <x v="0"/>
    <x v="0"/>
    <n v="6"/>
    <n v="474.42"/>
    <n v="0.34"/>
    <x v="2"/>
    <n v="9"/>
    <n v="2.4"/>
    <n v="1878.7"/>
  </r>
  <r>
    <n v="10797"/>
    <s v="3/7/2024"/>
    <n v="1734"/>
    <x v="1"/>
    <x v="0"/>
    <n v="2"/>
    <n v="86.4"/>
    <n v="0.28000000000000003"/>
    <x v="2"/>
    <n v="4"/>
    <n v="3.8"/>
    <n v="124.42"/>
  </r>
  <r>
    <n v="10798"/>
    <s v="3/8/2024"/>
    <n v="1383"/>
    <x v="2"/>
    <x v="3"/>
    <n v="3"/>
    <n v="125.76"/>
    <n v="0.03"/>
    <x v="2"/>
    <n v="10"/>
    <n v="3.3"/>
    <n v="365.96"/>
  </r>
  <r>
    <n v="10799"/>
    <s v="3/9/2024"/>
    <n v="1563"/>
    <x v="2"/>
    <x v="0"/>
    <n v="3"/>
    <n v="138.74"/>
    <n v="0.25"/>
    <x v="0"/>
    <n v="4"/>
    <n v="2.4"/>
    <n v="312.17"/>
  </r>
  <r>
    <n v="10800"/>
    <s v="3/10/2024"/>
    <n v="1850"/>
    <x v="2"/>
    <x v="1"/>
    <n v="6"/>
    <n v="340.78"/>
    <n v="0.19"/>
    <x v="2"/>
    <n v="8"/>
    <n v="4.0999999999999996"/>
    <n v="1656.19"/>
  </r>
  <r>
    <n v="10801"/>
    <s v="3/11/2024"/>
    <n v="1505"/>
    <x v="3"/>
    <x v="0"/>
    <n v="4"/>
    <n v="475.43"/>
    <n v="0.01"/>
    <x v="1"/>
    <n v="11"/>
    <n v="3.7"/>
    <n v="1882.7"/>
  </r>
  <r>
    <n v="10802"/>
    <s v="3/12/2024"/>
    <n v="1366"/>
    <x v="2"/>
    <x v="3"/>
    <n v="3"/>
    <n v="198.87"/>
    <n v="0.09"/>
    <x v="1"/>
    <n v="4"/>
    <n v="1"/>
    <n v="542.91999999999996"/>
  </r>
  <r>
    <n v="10803"/>
    <s v="3/13/2024"/>
    <n v="1143"/>
    <x v="1"/>
    <x v="1"/>
    <n v="5"/>
    <n v="64.53"/>
    <n v="0.32"/>
    <x v="1"/>
    <n v="9"/>
    <n v="4.5"/>
    <n v="219.4"/>
  </r>
  <r>
    <n v="10804"/>
    <s v="3/14/2024"/>
    <n v="1884"/>
    <x v="2"/>
    <x v="0"/>
    <n v="6"/>
    <n v="286.76"/>
    <n v="0.32"/>
    <x v="2"/>
    <n v="11"/>
    <n v="2.6"/>
    <n v="1169.98"/>
  </r>
  <r>
    <n v="10805"/>
    <s v="3/15/2024"/>
    <n v="1068"/>
    <x v="3"/>
    <x v="1"/>
    <n v="5"/>
    <n v="452.64"/>
    <n v="0.28000000000000003"/>
    <x v="1"/>
    <n v="8"/>
    <n v="3.6"/>
    <n v="1629.5"/>
  </r>
  <r>
    <n v="10806"/>
    <s v="3/16/2024"/>
    <n v="1098"/>
    <x v="3"/>
    <x v="3"/>
    <n v="6"/>
    <n v="144.66999999999999"/>
    <n v="0.34"/>
    <x v="1"/>
    <n v="5"/>
    <n v="2.6"/>
    <n v="572.89"/>
  </r>
  <r>
    <n v="10807"/>
    <s v="3/17/2024"/>
    <n v="1395"/>
    <x v="3"/>
    <x v="0"/>
    <n v="5"/>
    <n v="143.66"/>
    <n v="0.28000000000000003"/>
    <x v="0"/>
    <n v="9"/>
    <n v="4.5"/>
    <n v="517.17999999999995"/>
  </r>
  <r>
    <n v="10808"/>
    <s v="3/18/2024"/>
    <n v="1024"/>
    <x v="3"/>
    <x v="1"/>
    <n v="4"/>
    <n v="569.13"/>
    <n v="0"/>
    <x v="1"/>
    <n v="8"/>
    <n v="3.6"/>
    <n v="2276.52"/>
  </r>
  <r>
    <n v="10809"/>
    <s v="3/19/2024"/>
    <n v="1947"/>
    <x v="2"/>
    <x v="1"/>
    <n v="6"/>
    <n v="573.17999999999995"/>
    <n v="0.1"/>
    <x v="2"/>
    <n v="10"/>
    <n v="3.3"/>
    <n v="3095.17"/>
  </r>
  <r>
    <n v="10810"/>
    <s v="3/20/2024"/>
    <n v="1890"/>
    <x v="2"/>
    <x v="0"/>
    <n v="7"/>
    <n v="594.41999999999996"/>
    <n v="0.01"/>
    <x v="1"/>
    <n v="4"/>
    <n v="4.9000000000000004"/>
    <n v="4119.33"/>
  </r>
  <r>
    <n v="10811"/>
    <s v="3/21/2024"/>
    <n v="1468"/>
    <x v="3"/>
    <x v="1"/>
    <n v="2"/>
    <n v="487.48"/>
    <n v="0.03"/>
    <x v="1"/>
    <n v="4"/>
    <n v="2.1"/>
    <n v="945.71"/>
  </r>
  <r>
    <n v="10812"/>
    <s v="3/22/2024"/>
    <n v="1483"/>
    <x v="1"/>
    <x v="1"/>
    <n v="4"/>
    <n v="125.09"/>
    <n v="0.08"/>
    <x v="1"/>
    <n v="1"/>
    <n v="1.3"/>
    <n v="460.33"/>
  </r>
  <r>
    <n v="10813"/>
    <s v="3/23/2024"/>
    <n v="1564"/>
    <x v="1"/>
    <x v="3"/>
    <n v="5"/>
    <n v="139.01"/>
    <n v="0.18"/>
    <x v="1"/>
    <n v="4"/>
    <n v="3.1"/>
    <n v="569.94000000000005"/>
  </r>
  <r>
    <n v="10814"/>
    <s v="3/24/2024"/>
    <n v="1150"/>
    <x v="2"/>
    <x v="3"/>
    <n v="6"/>
    <n v="214.03"/>
    <n v="0.3"/>
    <x v="0"/>
    <n v="8"/>
    <n v="2.7"/>
    <n v="898.93"/>
  </r>
  <r>
    <n v="10815"/>
    <s v="3/25/2024"/>
    <n v="1143"/>
    <x v="2"/>
    <x v="3"/>
    <n v="4"/>
    <n v="201.11"/>
    <n v="0.3"/>
    <x v="1"/>
    <n v="5"/>
    <n v="2.8"/>
    <n v="563.11"/>
  </r>
  <r>
    <n v="10816"/>
    <s v="3/26/2024"/>
    <n v="1568"/>
    <x v="2"/>
    <x v="3"/>
    <n v="5"/>
    <n v="574.57000000000005"/>
    <n v="0.22"/>
    <x v="1"/>
    <n v="6"/>
    <n v="3.5"/>
    <n v="2240.8200000000002"/>
  </r>
  <r>
    <n v="10817"/>
    <s v="3/27/2024"/>
    <n v="1038"/>
    <x v="0"/>
    <x v="3"/>
    <n v="1"/>
    <n v="476.61"/>
    <n v="0.32"/>
    <x v="2"/>
    <n v="4"/>
    <n v="3.5"/>
    <n v="324.08999999999997"/>
  </r>
  <r>
    <n v="10818"/>
    <s v="3/28/2024"/>
    <n v="1108"/>
    <x v="2"/>
    <x v="3"/>
    <n v="1"/>
    <n v="438.55"/>
    <n v="0.18"/>
    <x v="2"/>
    <n v="5"/>
    <n v="2.6"/>
    <n v="359.61"/>
  </r>
  <r>
    <n v="10819"/>
    <s v="3/29/2024"/>
    <n v="1692"/>
    <x v="1"/>
    <x v="0"/>
    <n v="3"/>
    <n v="123.79"/>
    <n v="0.31"/>
    <x v="2"/>
    <n v="10"/>
    <n v="4.5"/>
    <n v="256.25"/>
  </r>
  <r>
    <n v="10820"/>
    <s v="3/30/2024"/>
    <n v="1041"/>
    <x v="2"/>
    <x v="3"/>
    <n v="2"/>
    <n v="547.07000000000005"/>
    <n v="0.16"/>
    <x v="0"/>
    <n v="8"/>
    <n v="3.6"/>
    <n v="919.08"/>
  </r>
  <r>
    <n v="10821"/>
    <s v="3/31/2024"/>
    <n v="1185"/>
    <x v="3"/>
    <x v="1"/>
    <n v="1"/>
    <n v="499.3"/>
    <n v="0.1"/>
    <x v="2"/>
    <n v="9"/>
    <n v="4.5999999999999996"/>
    <n v="449.37"/>
  </r>
  <r>
    <n v="10822"/>
    <s v="4/1/2024"/>
    <n v="1934"/>
    <x v="2"/>
    <x v="0"/>
    <n v="7"/>
    <n v="110.73"/>
    <n v="0.32"/>
    <x v="1"/>
    <n v="3"/>
    <n v="4.7"/>
    <n v="527.07000000000005"/>
  </r>
  <r>
    <n v="10823"/>
    <s v="4/2/2024"/>
    <n v="1397"/>
    <x v="0"/>
    <x v="1"/>
    <n v="5"/>
    <n v="524.63"/>
    <n v="0.14000000000000001"/>
    <x v="0"/>
    <n v="10"/>
    <n v="1.7"/>
    <n v="2255.91"/>
  </r>
  <r>
    <n v="10824"/>
    <s v="4/3/2024"/>
    <n v="1222"/>
    <x v="0"/>
    <x v="3"/>
    <n v="4"/>
    <n v="174.26"/>
    <n v="0.18"/>
    <x v="2"/>
    <n v="4"/>
    <n v="3.7"/>
    <n v="571.57000000000005"/>
  </r>
  <r>
    <n v="10825"/>
    <s v="4/4/2024"/>
    <n v="1633"/>
    <x v="2"/>
    <x v="3"/>
    <n v="6"/>
    <n v="62.31"/>
    <n v="0.12"/>
    <x v="1"/>
    <n v="1"/>
    <n v="2.2999999999999998"/>
    <n v="329"/>
  </r>
  <r>
    <n v="10826"/>
    <s v="4/5/2024"/>
    <n v="1132"/>
    <x v="0"/>
    <x v="1"/>
    <n v="4"/>
    <n v="399.24"/>
    <n v="0.23"/>
    <x v="1"/>
    <n v="11"/>
    <n v="4.3"/>
    <n v="1229.6600000000001"/>
  </r>
  <r>
    <n v="10827"/>
    <s v="4/6/2024"/>
    <n v="1162"/>
    <x v="0"/>
    <x v="1"/>
    <n v="3"/>
    <n v="397.48"/>
    <n v="0.35"/>
    <x v="1"/>
    <n v="5"/>
    <n v="3.9"/>
    <n v="775.09"/>
  </r>
  <r>
    <n v="10828"/>
    <s v="4/7/2024"/>
    <n v="1214"/>
    <x v="3"/>
    <x v="1"/>
    <n v="4"/>
    <n v="70.540000000000006"/>
    <n v="0.01"/>
    <x v="1"/>
    <n v="4"/>
    <n v="1.8"/>
    <n v="279.33999999999997"/>
  </r>
  <r>
    <n v="10829"/>
    <s v="4/8/2024"/>
    <n v="1732"/>
    <x v="3"/>
    <x v="2"/>
    <n v="1"/>
    <n v="201.53"/>
    <n v="0.31"/>
    <x v="1"/>
    <n v="6"/>
    <n v="4.8"/>
    <n v="139.06"/>
  </r>
  <r>
    <n v="10830"/>
    <s v="4/9/2024"/>
    <n v="1234"/>
    <x v="2"/>
    <x v="2"/>
    <n v="4"/>
    <n v="595.79999999999995"/>
    <n v="0"/>
    <x v="1"/>
    <n v="6"/>
    <n v="3.7"/>
    <n v="2383.1999999999998"/>
  </r>
  <r>
    <n v="10831"/>
    <s v="4/10/2024"/>
    <n v="1842"/>
    <x v="1"/>
    <x v="2"/>
    <n v="1"/>
    <n v="411.88"/>
    <n v="0.13"/>
    <x v="0"/>
    <n v="10"/>
    <n v="4.8"/>
    <n v="358.34"/>
  </r>
  <r>
    <n v="10832"/>
    <s v="4/11/2024"/>
    <n v="1657"/>
    <x v="2"/>
    <x v="2"/>
    <n v="1"/>
    <n v="442.09"/>
    <n v="0.06"/>
    <x v="0"/>
    <n v="6"/>
    <n v="1.8"/>
    <n v="415.56"/>
  </r>
  <r>
    <n v="10833"/>
    <s v="4/12/2024"/>
    <n v="1750"/>
    <x v="2"/>
    <x v="0"/>
    <n v="2"/>
    <n v="139.56"/>
    <n v="0.27"/>
    <x v="2"/>
    <n v="3"/>
    <n v="4.5"/>
    <n v="203.76"/>
  </r>
  <r>
    <n v="10834"/>
    <s v="4/13/2024"/>
    <n v="1587"/>
    <x v="0"/>
    <x v="3"/>
    <n v="3"/>
    <n v="61.09"/>
    <n v="0.02"/>
    <x v="0"/>
    <n v="7"/>
    <n v="3.7"/>
    <n v="179.6"/>
  </r>
  <r>
    <n v="10835"/>
    <s v="4/14/2024"/>
    <n v="1008"/>
    <x v="2"/>
    <x v="1"/>
    <n v="7"/>
    <n v="176.99"/>
    <n v="0.19"/>
    <x v="1"/>
    <n v="3"/>
    <n v="3.2"/>
    <n v="1003.53"/>
  </r>
  <r>
    <n v="10836"/>
    <s v="4/15/2024"/>
    <n v="1073"/>
    <x v="3"/>
    <x v="3"/>
    <n v="7"/>
    <n v="160.61000000000001"/>
    <n v="0.1"/>
    <x v="0"/>
    <n v="6"/>
    <n v="4.3"/>
    <n v="1011.84"/>
  </r>
  <r>
    <n v="10837"/>
    <s v="4/16/2024"/>
    <n v="1953"/>
    <x v="3"/>
    <x v="1"/>
    <n v="5"/>
    <n v="152.21"/>
    <n v="0.05"/>
    <x v="2"/>
    <n v="10"/>
    <n v="3.5"/>
    <n v="723"/>
  </r>
  <r>
    <n v="10838"/>
    <s v="4/17/2024"/>
    <n v="1491"/>
    <x v="0"/>
    <x v="3"/>
    <n v="7"/>
    <n v="127.76"/>
    <n v="0.27"/>
    <x v="1"/>
    <n v="1"/>
    <n v="3.7"/>
    <n v="652.85"/>
  </r>
  <r>
    <n v="10839"/>
    <s v="4/18/2024"/>
    <n v="1912"/>
    <x v="0"/>
    <x v="0"/>
    <n v="1"/>
    <n v="351.23"/>
    <n v="0.08"/>
    <x v="1"/>
    <n v="8"/>
    <n v="2"/>
    <n v="323.13"/>
  </r>
  <r>
    <n v="10840"/>
    <s v="4/19/2024"/>
    <n v="1252"/>
    <x v="2"/>
    <x v="2"/>
    <n v="6"/>
    <n v="206.94"/>
    <n v="0.08"/>
    <x v="1"/>
    <n v="7"/>
    <n v="4.3"/>
    <n v="1142.31"/>
  </r>
  <r>
    <n v="10841"/>
    <s v="4/20/2024"/>
    <n v="1229"/>
    <x v="2"/>
    <x v="3"/>
    <n v="3"/>
    <n v="494.9"/>
    <n v="0.1"/>
    <x v="1"/>
    <n v="9"/>
    <n v="3.6"/>
    <n v="1336.23"/>
  </r>
  <r>
    <n v="10842"/>
    <s v="4/21/2024"/>
    <n v="1518"/>
    <x v="1"/>
    <x v="1"/>
    <n v="5"/>
    <n v="122.61"/>
    <n v="0.21"/>
    <x v="1"/>
    <n v="3"/>
    <n v="4.4000000000000004"/>
    <n v="484.31"/>
  </r>
  <r>
    <n v="10843"/>
    <s v="4/22/2024"/>
    <n v="1173"/>
    <x v="2"/>
    <x v="3"/>
    <n v="7"/>
    <n v="286.81"/>
    <n v="0.23"/>
    <x v="1"/>
    <n v="8"/>
    <n v="2.4"/>
    <n v="1545.91"/>
  </r>
  <r>
    <n v="10844"/>
    <s v="4/23/2024"/>
    <n v="1652"/>
    <x v="2"/>
    <x v="0"/>
    <n v="7"/>
    <n v="22.99"/>
    <n v="0.01"/>
    <x v="1"/>
    <n v="2"/>
    <n v="2.2999999999999998"/>
    <n v="159.32"/>
  </r>
  <r>
    <n v="10845"/>
    <s v="4/24/2024"/>
    <n v="1167"/>
    <x v="1"/>
    <x v="0"/>
    <n v="6"/>
    <n v="296.77999999999997"/>
    <n v="0.08"/>
    <x v="1"/>
    <n v="9"/>
    <n v="1.1000000000000001"/>
    <n v="1638.23"/>
  </r>
  <r>
    <n v="10846"/>
    <s v="4/25/2024"/>
    <n v="1169"/>
    <x v="3"/>
    <x v="3"/>
    <n v="4"/>
    <n v="47.67"/>
    <n v="0.15"/>
    <x v="0"/>
    <n v="1"/>
    <n v="4.0999999999999996"/>
    <n v="162.08000000000001"/>
  </r>
  <r>
    <n v="10847"/>
    <s v="4/26/2024"/>
    <n v="1392"/>
    <x v="1"/>
    <x v="2"/>
    <n v="3"/>
    <n v="586.97"/>
    <n v="0.12"/>
    <x v="1"/>
    <n v="10"/>
    <n v="2.2999999999999998"/>
    <n v="1549.6"/>
  </r>
  <r>
    <n v="10848"/>
    <s v="4/27/2024"/>
    <n v="1945"/>
    <x v="2"/>
    <x v="1"/>
    <n v="6"/>
    <n v="477.5"/>
    <n v="0.31"/>
    <x v="1"/>
    <n v="7"/>
    <n v="2.2999999999999998"/>
    <n v="1976.85"/>
  </r>
  <r>
    <n v="10849"/>
    <s v="4/28/2024"/>
    <n v="1794"/>
    <x v="3"/>
    <x v="0"/>
    <n v="7"/>
    <n v="301.72000000000003"/>
    <n v="0.28000000000000003"/>
    <x v="2"/>
    <n v="10"/>
    <n v="3.8"/>
    <n v="1520.67"/>
  </r>
  <r>
    <n v="10850"/>
    <s v="4/29/2024"/>
    <n v="1633"/>
    <x v="2"/>
    <x v="0"/>
    <n v="3"/>
    <n v="65.650000000000006"/>
    <n v="0.22"/>
    <x v="0"/>
    <n v="1"/>
    <n v="2"/>
    <n v="153.62"/>
  </r>
  <r>
    <n v="10851"/>
    <s v="4/30/2024"/>
    <n v="1193"/>
    <x v="2"/>
    <x v="3"/>
    <n v="3"/>
    <n v="361.58"/>
    <n v="0.12"/>
    <x v="1"/>
    <n v="6"/>
    <n v="4.5999999999999996"/>
    <n v="954.57"/>
  </r>
  <r>
    <n v="10852"/>
    <s v="5/1/2024"/>
    <n v="1516"/>
    <x v="3"/>
    <x v="0"/>
    <n v="7"/>
    <n v="458.88"/>
    <n v="0.25"/>
    <x v="0"/>
    <n v="1"/>
    <n v="3.2"/>
    <n v="2409.12"/>
  </r>
  <r>
    <n v="10853"/>
    <s v="5/2/2024"/>
    <n v="1028"/>
    <x v="1"/>
    <x v="0"/>
    <n v="4"/>
    <n v="126.57"/>
    <n v="0.3"/>
    <x v="1"/>
    <n v="4"/>
    <n v="4.9000000000000004"/>
    <n v="354.4"/>
  </r>
  <r>
    <n v="10854"/>
    <s v="5/3/2024"/>
    <n v="1164"/>
    <x v="3"/>
    <x v="1"/>
    <n v="4"/>
    <n v="347.4"/>
    <n v="0.21"/>
    <x v="1"/>
    <n v="7"/>
    <n v="1.3"/>
    <n v="1097.78"/>
  </r>
  <r>
    <n v="10855"/>
    <s v="5/4/2024"/>
    <n v="1421"/>
    <x v="2"/>
    <x v="2"/>
    <n v="7"/>
    <n v="491.31"/>
    <n v="0.27"/>
    <x v="1"/>
    <n v="2"/>
    <n v="2.2999999999999998"/>
    <n v="2510.59"/>
  </r>
  <r>
    <n v="10856"/>
    <s v="5/5/2024"/>
    <n v="1338"/>
    <x v="3"/>
    <x v="1"/>
    <n v="3"/>
    <n v="464.42"/>
    <n v="0.26"/>
    <x v="2"/>
    <n v="3"/>
    <n v="2.5"/>
    <n v="1031.01"/>
  </r>
  <r>
    <n v="10857"/>
    <s v="5/6/2024"/>
    <n v="1647"/>
    <x v="1"/>
    <x v="2"/>
    <n v="6"/>
    <n v="484.75"/>
    <n v="0.2"/>
    <x v="1"/>
    <n v="4"/>
    <n v="3.9"/>
    <n v="2326.8000000000002"/>
  </r>
  <r>
    <n v="10858"/>
    <s v="5/7/2024"/>
    <n v="1495"/>
    <x v="1"/>
    <x v="1"/>
    <n v="2"/>
    <n v="529.4"/>
    <n v="0.11"/>
    <x v="2"/>
    <n v="6"/>
    <n v="1.9"/>
    <n v="942.33"/>
  </r>
  <r>
    <n v="10859"/>
    <s v="5/8/2024"/>
    <n v="1364"/>
    <x v="1"/>
    <x v="3"/>
    <n v="1"/>
    <n v="563.54"/>
    <n v="0.26"/>
    <x v="1"/>
    <n v="9"/>
    <n v="2.5"/>
    <n v="417.02"/>
  </r>
  <r>
    <n v="10860"/>
    <s v="5/9/2024"/>
    <n v="1832"/>
    <x v="0"/>
    <x v="0"/>
    <n v="4"/>
    <n v="252.23"/>
    <n v="7.0000000000000007E-2"/>
    <x v="2"/>
    <n v="4"/>
    <n v="4.5999999999999996"/>
    <n v="938.3"/>
  </r>
  <r>
    <n v="10861"/>
    <s v="5/10/2024"/>
    <n v="1341"/>
    <x v="1"/>
    <x v="2"/>
    <n v="7"/>
    <n v="347.73"/>
    <n v="0.27"/>
    <x v="1"/>
    <n v="6"/>
    <n v="1.5"/>
    <n v="1776.9"/>
  </r>
  <r>
    <n v="10862"/>
    <s v="5/11/2024"/>
    <n v="1499"/>
    <x v="1"/>
    <x v="3"/>
    <n v="2"/>
    <n v="477.54"/>
    <n v="0.28000000000000003"/>
    <x v="2"/>
    <n v="7"/>
    <n v="4"/>
    <n v="687.66"/>
  </r>
  <r>
    <n v="10863"/>
    <s v="5/12/2024"/>
    <n v="1656"/>
    <x v="0"/>
    <x v="0"/>
    <n v="4"/>
    <n v="422.83"/>
    <n v="0.28999999999999998"/>
    <x v="2"/>
    <n v="4"/>
    <n v="3.8"/>
    <n v="1200.8399999999999"/>
  </r>
  <r>
    <n v="10864"/>
    <s v="5/13/2024"/>
    <n v="1510"/>
    <x v="3"/>
    <x v="0"/>
    <n v="3"/>
    <n v="597.38"/>
    <n v="0.17"/>
    <x v="2"/>
    <n v="6"/>
    <n v="1.5"/>
    <n v="1487.48"/>
  </r>
  <r>
    <n v="10865"/>
    <s v="5/14/2024"/>
    <n v="1326"/>
    <x v="1"/>
    <x v="0"/>
    <n v="7"/>
    <n v="23"/>
    <n v="7.0000000000000007E-2"/>
    <x v="1"/>
    <n v="3"/>
    <n v="3.8"/>
    <n v="149.72999999999999"/>
  </r>
  <r>
    <n v="10866"/>
    <s v="5/15/2024"/>
    <n v="1216"/>
    <x v="3"/>
    <x v="1"/>
    <n v="2"/>
    <n v="222.75"/>
    <n v="0.03"/>
    <x v="0"/>
    <n v="5"/>
    <n v="3.3"/>
    <n v="432.14"/>
  </r>
  <r>
    <n v="10867"/>
    <s v="5/16/2024"/>
    <n v="1300"/>
    <x v="1"/>
    <x v="3"/>
    <n v="7"/>
    <n v="179.4"/>
    <n v="0.26"/>
    <x v="2"/>
    <n v="11"/>
    <n v="2.2000000000000002"/>
    <n v="929.29"/>
  </r>
  <r>
    <n v="10868"/>
    <s v="5/17/2024"/>
    <n v="1131"/>
    <x v="2"/>
    <x v="3"/>
    <n v="6"/>
    <n v="168.45"/>
    <n v="0.31"/>
    <x v="1"/>
    <n v="10"/>
    <n v="2.2000000000000002"/>
    <n v="697.38"/>
  </r>
  <r>
    <n v="10869"/>
    <s v="5/18/2024"/>
    <n v="1803"/>
    <x v="1"/>
    <x v="0"/>
    <n v="6"/>
    <n v="145.18"/>
    <n v="0.23"/>
    <x v="0"/>
    <n v="4"/>
    <n v="4.3"/>
    <n v="670.73"/>
  </r>
  <r>
    <n v="10870"/>
    <s v="5/19/2024"/>
    <n v="1069"/>
    <x v="0"/>
    <x v="2"/>
    <n v="5"/>
    <n v="429.84"/>
    <n v="0.05"/>
    <x v="2"/>
    <n v="7"/>
    <n v="1.9"/>
    <n v="2041.74"/>
  </r>
  <r>
    <n v="10871"/>
    <s v="5/20/2024"/>
    <n v="1251"/>
    <x v="0"/>
    <x v="3"/>
    <n v="1"/>
    <n v="64.58"/>
    <n v="0.33"/>
    <x v="2"/>
    <n v="6"/>
    <n v="3.1"/>
    <n v="43.27"/>
  </r>
  <r>
    <n v="10872"/>
    <s v="5/21/2024"/>
    <n v="1414"/>
    <x v="2"/>
    <x v="1"/>
    <n v="1"/>
    <n v="448.84"/>
    <n v="0.35"/>
    <x v="1"/>
    <n v="7"/>
    <n v="3.7"/>
    <n v="291.75"/>
  </r>
  <r>
    <n v="10873"/>
    <s v="5/22/2024"/>
    <n v="1786"/>
    <x v="1"/>
    <x v="2"/>
    <n v="4"/>
    <n v="420.65"/>
    <n v="0.15"/>
    <x v="2"/>
    <n v="6"/>
    <n v="1.5"/>
    <n v="1430.21"/>
  </r>
  <r>
    <n v="10874"/>
    <s v="5/23/2024"/>
    <n v="1444"/>
    <x v="2"/>
    <x v="2"/>
    <n v="1"/>
    <n v="161.72"/>
    <n v="0.21"/>
    <x v="1"/>
    <n v="2"/>
    <n v="4.7"/>
    <n v="127.76"/>
  </r>
  <r>
    <n v="10875"/>
    <s v="5/24/2024"/>
    <n v="1875"/>
    <x v="0"/>
    <x v="2"/>
    <n v="7"/>
    <n v="162.91"/>
    <n v="0.27"/>
    <x v="1"/>
    <n v="7"/>
    <n v="2"/>
    <n v="832.47"/>
  </r>
  <r>
    <n v="10876"/>
    <s v="5/25/2024"/>
    <n v="1181"/>
    <x v="0"/>
    <x v="2"/>
    <n v="7"/>
    <n v="382.88"/>
    <n v="0.26"/>
    <x v="1"/>
    <n v="8"/>
    <n v="2.2999999999999998"/>
    <n v="1983.32"/>
  </r>
  <r>
    <n v="10877"/>
    <s v="5/26/2024"/>
    <n v="1166"/>
    <x v="1"/>
    <x v="3"/>
    <n v="5"/>
    <n v="460.87"/>
    <n v="0.34"/>
    <x v="2"/>
    <n v="7"/>
    <n v="3.7"/>
    <n v="1520.87"/>
  </r>
  <r>
    <n v="10878"/>
    <s v="5/27/2024"/>
    <n v="1090"/>
    <x v="3"/>
    <x v="0"/>
    <n v="6"/>
    <n v="527.74"/>
    <n v="0.04"/>
    <x v="1"/>
    <n v="4"/>
    <n v="1.3"/>
    <n v="3039.78"/>
  </r>
  <r>
    <n v="10879"/>
    <s v="5/28/2024"/>
    <n v="1713"/>
    <x v="3"/>
    <x v="2"/>
    <n v="2"/>
    <n v="513.5"/>
    <n v="0.2"/>
    <x v="0"/>
    <n v="4"/>
    <n v="3.5"/>
    <n v="821.6"/>
  </r>
  <r>
    <n v="10880"/>
    <s v="5/29/2024"/>
    <n v="1857"/>
    <x v="1"/>
    <x v="1"/>
    <n v="2"/>
    <n v="579.46"/>
    <n v="0.24"/>
    <x v="1"/>
    <n v="5"/>
    <n v="4.7"/>
    <n v="880.78"/>
  </r>
  <r>
    <n v="10881"/>
    <s v="5/30/2024"/>
    <n v="1530"/>
    <x v="2"/>
    <x v="1"/>
    <n v="6"/>
    <n v="355.11"/>
    <n v="0.31"/>
    <x v="1"/>
    <n v="9"/>
    <n v="2"/>
    <n v="1470.16"/>
  </r>
  <r>
    <n v="10882"/>
    <s v="5/31/2024"/>
    <n v="1038"/>
    <x v="1"/>
    <x v="0"/>
    <n v="3"/>
    <n v="546.55999999999995"/>
    <n v="0.31"/>
    <x v="2"/>
    <n v="5"/>
    <n v="2.4"/>
    <n v="1131.3800000000001"/>
  </r>
  <r>
    <n v="10883"/>
    <s v="6/1/2024"/>
    <n v="1125"/>
    <x v="3"/>
    <x v="3"/>
    <n v="6"/>
    <n v="487.98"/>
    <n v="0.34"/>
    <x v="2"/>
    <n v="2"/>
    <n v="1.9"/>
    <n v="1932.4"/>
  </r>
  <r>
    <n v="10884"/>
    <s v="6/2/2024"/>
    <n v="1450"/>
    <x v="3"/>
    <x v="0"/>
    <n v="2"/>
    <n v="538.38"/>
    <n v="0.18"/>
    <x v="1"/>
    <n v="5"/>
    <n v="4.3"/>
    <n v="882.94"/>
  </r>
  <r>
    <n v="10885"/>
    <s v="6/3/2024"/>
    <n v="1172"/>
    <x v="1"/>
    <x v="2"/>
    <n v="4"/>
    <n v="21.8"/>
    <n v="0.28999999999999998"/>
    <x v="1"/>
    <n v="3"/>
    <n v="1.7"/>
    <n v="61.91"/>
  </r>
  <r>
    <n v="10886"/>
    <s v="6/4/2024"/>
    <n v="1652"/>
    <x v="0"/>
    <x v="3"/>
    <n v="5"/>
    <n v="580.04999999999995"/>
    <n v="0.15"/>
    <x v="1"/>
    <n v="10"/>
    <n v="2.4"/>
    <n v="2465.21"/>
  </r>
  <r>
    <n v="10887"/>
    <s v="6/5/2024"/>
    <n v="1753"/>
    <x v="2"/>
    <x v="3"/>
    <n v="6"/>
    <n v="292.02"/>
    <n v="0.15"/>
    <x v="2"/>
    <n v="8"/>
    <n v="3.4"/>
    <n v="1489.3"/>
  </r>
  <r>
    <n v="10888"/>
    <s v="6/6/2024"/>
    <n v="1219"/>
    <x v="1"/>
    <x v="2"/>
    <n v="3"/>
    <n v="481.94"/>
    <n v="0.09"/>
    <x v="1"/>
    <n v="10"/>
    <n v="2.6"/>
    <n v="1315.7"/>
  </r>
  <r>
    <n v="10889"/>
    <s v="6/7/2024"/>
    <n v="1637"/>
    <x v="3"/>
    <x v="1"/>
    <n v="4"/>
    <n v="89.41"/>
    <n v="0.28999999999999998"/>
    <x v="2"/>
    <n v="10"/>
    <n v="1.3"/>
    <n v="253.92"/>
  </r>
  <r>
    <n v="10890"/>
    <s v="6/8/2024"/>
    <n v="1057"/>
    <x v="3"/>
    <x v="2"/>
    <n v="6"/>
    <n v="246.63"/>
    <n v="0.35"/>
    <x v="2"/>
    <n v="2"/>
    <n v="4.8"/>
    <n v="961.86"/>
  </r>
  <r>
    <n v="10891"/>
    <s v="6/9/2024"/>
    <n v="1659"/>
    <x v="1"/>
    <x v="0"/>
    <n v="4"/>
    <n v="173.8"/>
    <n v="0.09"/>
    <x v="1"/>
    <n v="11"/>
    <n v="2.4"/>
    <n v="632.63"/>
  </r>
  <r>
    <n v="10892"/>
    <s v="6/10/2024"/>
    <n v="1475"/>
    <x v="2"/>
    <x v="2"/>
    <n v="6"/>
    <n v="185.62"/>
    <n v="0.02"/>
    <x v="1"/>
    <n v="4"/>
    <n v="2.8"/>
    <n v="1091.45"/>
  </r>
  <r>
    <n v="10893"/>
    <s v="6/11/2024"/>
    <n v="1455"/>
    <x v="2"/>
    <x v="1"/>
    <n v="4"/>
    <n v="87.1"/>
    <n v="0.28999999999999998"/>
    <x v="1"/>
    <n v="5"/>
    <n v="1.7"/>
    <n v="247.36"/>
  </r>
  <r>
    <n v="10894"/>
    <s v="6/12/2024"/>
    <n v="1828"/>
    <x v="1"/>
    <x v="2"/>
    <n v="7"/>
    <n v="486.37"/>
    <n v="0.22"/>
    <x v="1"/>
    <n v="4"/>
    <n v="4.5"/>
    <n v="2655.58"/>
  </r>
  <r>
    <n v="10895"/>
    <s v="6/13/2024"/>
    <n v="1894"/>
    <x v="1"/>
    <x v="0"/>
    <n v="1"/>
    <n v="20.41"/>
    <n v="0.34"/>
    <x v="2"/>
    <n v="5"/>
    <n v="2.2000000000000002"/>
    <n v="13.47"/>
  </r>
  <r>
    <n v="10896"/>
    <s v="6/14/2024"/>
    <n v="1360"/>
    <x v="2"/>
    <x v="0"/>
    <n v="4"/>
    <n v="197.82"/>
    <n v="0.09"/>
    <x v="2"/>
    <n v="10"/>
    <n v="1.1000000000000001"/>
    <n v="720.06"/>
  </r>
  <r>
    <n v="10897"/>
    <s v="6/15/2024"/>
    <n v="1934"/>
    <x v="3"/>
    <x v="1"/>
    <n v="7"/>
    <n v="117.03"/>
    <n v="0.02"/>
    <x v="2"/>
    <n v="11"/>
    <n v="2.2999999999999998"/>
    <n v="802.83"/>
  </r>
  <r>
    <n v="10898"/>
    <s v="6/16/2024"/>
    <n v="1000"/>
    <x v="1"/>
    <x v="0"/>
    <n v="1"/>
    <n v="359.59"/>
    <n v="0.17"/>
    <x v="1"/>
    <n v="4"/>
    <n v="4.9000000000000004"/>
    <n v="298.45999999999998"/>
  </r>
  <r>
    <n v="10899"/>
    <s v="6/17/2024"/>
    <n v="1386"/>
    <x v="3"/>
    <x v="0"/>
    <n v="2"/>
    <n v="163.74"/>
    <n v="0.03"/>
    <x v="0"/>
    <n v="3"/>
    <n v="1.6"/>
    <n v="317.66000000000003"/>
  </r>
  <r>
    <n v="10900"/>
    <s v="6/18/2024"/>
    <n v="1972"/>
    <x v="3"/>
    <x v="2"/>
    <n v="1"/>
    <n v="166.51"/>
    <n v="0.09"/>
    <x v="1"/>
    <n v="1"/>
    <n v="1.1000000000000001"/>
    <n v="151.52000000000001"/>
  </r>
  <r>
    <n v="10901"/>
    <s v="6/19/2024"/>
    <n v="1347"/>
    <x v="2"/>
    <x v="3"/>
    <n v="4"/>
    <n v="300.68"/>
    <n v="0.04"/>
    <x v="1"/>
    <n v="4"/>
    <n v="3.3"/>
    <n v="1154.6099999999999"/>
  </r>
  <r>
    <n v="10902"/>
    <s v="6/20/2024"/>
    <n v="1189"/>
    <x v="2"/>
    <x v="0"/>
    <n v="5"/>
    <n v="396.82"/>
    <n v="0.08"/>
    <x v="2"/>
    <n v="9"/>
    <n v="2.5"/>
    <n v="1825.37"/>
  </r>
  <r>
    <n v="10903"/>
    <s v="6/21/2024"/>
    <n v="1504"/>
    <x v="3"/>
    <x v="0"/>
    <n v="5"/>
    <n v="85.96"/>
    <n v="0.04"/>
    <x v="0"/>
    <n v="1"/>
    <n v="4.2"/>
    <n v="412.61"/>
  </r>
  <r>
    <n v="10904"/>
    <s v="6/22/2024"/>
    <n v="1190"/>
    <x v="1"/>
    <x v="1"/>
    <n v="2"/>
    <n v="117.67"/>
    <n v="0.33"/>
    <x v="1"/>
    <n v="7"/>
    <n v="3.9"/>
    <n v="157.68"/>
  </r>
  <r>
    <n v="10905"/>
    <s v="6/23/2024"/>
    <n v="1507"/>
    <x v="3"/>
    <x v="1"/>
    <n v="4"/>
    <n v="159.6"/>
    <n v="0.1"/>
    <x v="2"/>
    <n v="3"/>
    <n v="1.7"/>
    <n v="574.55999999999995"/>
  </r>
  <r>
    <n v="10906"/>
    <s v="6/24/2024"/>
    <n v="1368"/>
    <x v="3"/>
    <x v="2"/>
    <n v="1"/>
    <n v="584.64"/>
    <n v="0.16"/>
    <x v="0"/>
    <n v="8"/>
    <n v="3.3"/>
    <n v="491.1"/>
  </r>
  <r>
    <n v="10907"/>
    <s v="6/25/2024"/>
    <n v="1408"/>
    <x v="3"/>
    <x v="2"/>
    <n v="5"/>
    <n v="247.33"/>
    <n v="0.31"/>
    <x v="2"/>
    <n v="6"/>
    <n v="1.1000000000000001"/>
    <n v="853.29"/>
  </r>
  <r>
    <n v="10908"/>
    <s v="6/26/2024"/>
    <n v="1823"/>
    <x v="0"/>
    <x v="0"/>
    <n v="6"/>
    <n v="365.41"/>
    <n v="0.24"/>
    <x v="1"/>
    <n v="1"/>
    <n v="2.8"/>
    <n v="1666.27"/>
  </r>
  <r>
    <n v="10909"/>
    <s v="6/27/2024"/>
    <n v="1928"/>
    <x v="1"/>
    <x v="3"/>
    <n v="3"/>
    <n v="156.30000000000001"/>
    <n v="0.22"/>
    <x v="0"/>
    <n v="10"/>
    <n v="3.9"/>
    <n v="365.74"/>
  </r>
  <r>
    <n v="10910"/>
    <s v="6/28/2024"/>
    <n v="1933"/>
    <x v="1"/>
    <x v="3"/>
    <n v="4"/>
    <n v="301.92"/>
    <n v="0.25"/>
    <x v="2"/>
    <n v="5"/>
    <n v="2.7"/>
    <n v="905.76"/>
  </r>
  <r>
    <n v="10911"/>
    <s v="6/29/2024"/>
    <n v="1116"/>
    <x v="1"/>
    <x v="2"/>
    <n v="7"/>
    <n v="58.36"/>
    <n v="0.28999999999999998"/>
    <x v="2"/>
    <n v="8"/>
    <n v="1.5"/>
    <n v="290.05"/>
  </r>
  <r>
    <n v="10912"/>
    <s v="6/30/2024"/>
    <n v="1133"/>
    <x v="2"/>
    <x v="1"/>
    <n v="7"/>
    <n v="35.32"/>
    <n v="0.31"/>
    <x v="2"/>
    <n v="11"/>
    <n v="1.2"/>
    <n v="170.6"/>
  </r>
  <r>
    <n v="10913"/>
    <s v="7/1/2024"/>
    <n v="1057"/>
    <x v="1"/>
    <x v="0"/>
    <n v="6"/>
    <n v="289.20999999999998"/>
    <n v="0.22"/>
    <x v="0"/>
    <n v="3"/>
    <n v="4.4000000000000004"/>
    <n v="1353.5"/>
  </r>
  <r>
    <n v="10914"/>
    <s v="7/2/2024"/>
    <n v="1555"/>
    <x v="2"/>
    <x v="0"/>
    <n v="6"/>
    <n v="248.22"/>
    <n v="0.31"/>
    <x v="1"/>
    <n v="4"/>
    <n v="4.5999999999999996"/>
    <n v="1027.6300000000001"/>
  </r>
  <r>
    <n v="10915"/>
    <s v="7/3/2024"/>
    <n v="1684"/>
    <x v="0"/>
    <x v="3"/>
    <n v="4"/>
    <n v="95.07"/>
    <n v="0.19"/>
    <x v="1"/>
    <n v="7"/>
    <n v="2.4"/>
    <n v="308.02999999999997"/>
  </r>
  <r>
    <n v="10916"/>
    <s v="7/4/2024"/>
    <n v="1671"/>
    <x v="1"/>
    <x v="2"/>
    <n v="3"/>
    <n v="417.25"/>
    <n v="0.1"/>
    <x v="2"/>
    <n v="11"/>
    <n v="1.7"/>
    <n v="1126.58"/>
  </r>
  <r>
    <n v="10917"/>
    <s v="7/5/2024"/>
    <n v="1172"/>
    <x v="1"/>
    <x v="3"/>
    <n v="5"/>
    <n v="595.85"/>
    <n v="0.31"/>
    <x v="1"/>
    <n v="6"/>
    <n v="4.9000000000000004"/>
    <n v="2055.6799999999998"/>
  </r>
  <r>
    <n v="10918"/>
    <s v="7/6/2024"/>
    <n v="1828"/>
    <x v="1"/>
    <x v="3"/>
    <n v="3"/>
    <n v="246.45"/>
    <n v="0.19"/>
    <x v="1"/>
    <n v="7"/>
    <n v="3.2"/>
    <n v="598.87"/>
  </r>
  <r>
    <n v="10919"/>
    <s v="7/7/2024"/>
    <n v="1814"/>
    <x v="2"/>
    <x v="2"/>
    <n v="2"/>
    <n v="380.37"/>
    <n v="0.32"/>
    <x v="2"/>
    <n v="9"/>
    <n v="2.9"/>
    <n v="517.29999999999995"/>
  </r>
  <r>
    <n v="10920"/>
    <s v="7/8/2024"/>
    <n v="1148"/>
    <x v="2"/>
    <x v="1"/>
    <n v="1"/>
    <n v="578.34"/>
    <n v="0.01"/>
    <x v="1"/>
    <n v="9"/>
    <n v="4"/>
    <n v="572.55999999999995"/>
  </r>
  <r>
    <n v="10921"/>
    <s v="7/9/2024"/>
    <n v="1079"/>
    <x v="1"/>
    <x v="0"/>
    <n v="1"/>
    <n v="501.45"/>
    <n v="0.14000000000000001"/>
    <x v="2"/>
    <n v="2"/>
    <n v="1.7"/>
    <n v="431.25"/>
  </r>
  <r>
    <n v="10922"/>
    <s v="7/10/2024"/>
    <n v="1885"/>
    <x v="2"/>
    <x v="1"/>
    <n v="6"/>
    <n v="286.18"/>
    <n v="0.33"/>
    <x v="0"/>
    <n v="3"/>
    <n v="3.3"/>
    <n v="1150.44"/>
  </r>
  <r>
    <n v="10923"/>
    <s v="7/11/2024"/>
    <n v="1212"/>
    <x v="1"/>
    <x v="2"/>
    <n v="5"/>
    <n v="446.43"/>
    <n v="0.09"/>
    <x v="1"/>
    <n v="4"/>
    <n v="4.5999999999999996"/>
    <n v="2031.26"/>
  </r>
  <r>
    <n v="10924"/>
    <s v="7/12/2024"/>
    <n v="1202"/>
    <x v="0"/>
    <x v="2"/>
    <n v="3"/>
    <n v="89.96"/>
    <n v="0.33"/>
    <x v="0"/>
    <n v="6"/>
    <n v="1.1000000000000001"/>
    <n v="180.82"/>
  </r>
  <r>
    <n v="10925"/>
    <s v="7/13/2024"/>
    <n v="1763"/>
    <x v="0"/>
    <x v="0"/>
    <n v="6"/>
    <n v="314.58"/>
    <n v="0.33"/>
    <x v="1"/>
    <n v="5"/>
    <n v="3.7"/>
    <n v="1264.6099999999999"/>
  </r>
  <r>
    <n v="10926"/>
    <s v="7/14/2024"/>
    <n v="1228"/>
    <x v="3"/>
    <x v="1"/>
    <n v="4"/>
    <n v="178.25"/>
    <n v="0.31"/>
    <x v="0"/>
    <n v="6"/>
    <n v="3.2"/>
    <n v="491.97"/>
  </r>
  <r>
    <n v="10927"/>
    <s v="7/15/2024"/>
    <n v="1675"/>
    <x v="2"/>
    <x v="0"/>
    <n v="6"/>
    <n v="109.28"/>
    <n v="0.2"/>
    <x v="0"/>
    <n v="11"/>
    <n v="4.8"/>
    <n v="524.54"/>
  </r>
  <r>
    <n v="10928"/>
    <s v="7/16/2024"/>
    <n v="1226"/>
    <x v="0"/>
    <x v="3"/>
    <n v="4"/>
    <n v="264.37"/>
    <n v="0.23"/>
    <x v="1"/>
    <n v="8"/>
    <n v="2"/>
    <n v="814.26"/>
  </r>
  <r>
    <n v="10929"/>
    <s v="7/17/2024"/>
    <n v="1658"/>
    <x v="0"/>
    <x v="3"/>
    <n v="4"/>
    <n v="91.64"/>
    <n v="0.3"/>
    <x v="1"/>
    <n v="2"/>
    <n v="4.4000000000000004"/>
    <n v="256.58999999999997"/>
  </r>
  <r>
    <n v="10930"/>
    <s v="7/18/2024"/>
    <n v="1531"/>
    <x v="2"/>
    <x v="3"/>
    <n v="2"/>
    <n v="423.91"/>
    <n v="0.27"/>
    <x v="1"/>
    <n v="6"/>
    <n v="2.2000000000000002"/>
    <n v="618.91"/>
  </r>
  <r>
    <n v="10931"/>
    <s v="7/19/2024"/>
    <n v="1440"/>
    <x v="3"/>
    <x v="1"/>
    <n v="2"/>
    <n v="281.89999999999998"/>
    <n v="0.22"/>
    <x v="0"/>
    <n v="9"/>
    <n v="2.7"/>
    <n v="439.76"/>
  </r>
  <r>
    <n v="10932"/>
    <s v="7/20/2024"/>
    <n v="1401"/>
    <x v="2"/>
    <x v="3"/>
    <n v="4"/>
    <n v="325.72000000000003"/>
    <n v="0.34"/>
    <x v="0"/>
    <n v="5"/>
    <n v="1.9"/>
    <n v="859.9"/>
  </r>
  <r>
    <n v="10933"/>
    <s v="7/21/2024"/>
    <n v="1046"/>
    <x v="3"/>
    <x v="0"/>
    <n v="5"/>
    <n v="100.63"/>
    <n v="0.24"/>
    <x v="1"/>
    <n v="1"/>
    <n v="4.5"/>
    <n v="382.39"/>
  </r>
  <r>
    <n v="10934"/>
    <s v="7/22/2024"/>
    <n v="1232"/>
    <x v="0"/>
    <x v="1"/>
    <n v="2"/>
    <n v="96.77"/>
    <n v="0.34"/>
    <x v="2"/>
    <n v="8"/>
    <n v="1.8"/>
    <n v="127.74"/>
  </r>
  <r>
    <n v="10935"/>
    <s v="7/23/2024"/>
    <n v="1304"/>
    <x v="2"/>
    <x v="0"/>
    <n v="2"/>
    <n v="356.3"/>
    <n v="0.02"/>
    <x v="1"/>
    <n v="4"/>
    <n v="4.4000000000000004"/>
    <n v="698.35"/>
  </r>
  <r>
    <n v="10936"/>
    <s v="7/24/2024"/>
    <n v="1525"/>
    <x v="0"/>
    <x v="2"/>
    <n v="1"/>
    <n v="591.23"/>
    <n v="0.05"/>
    <x v="2"/>
    <n v="8"/>
    <n v="2.8"/>
    <n v="561.66999999999996"/>
  </r>
  <r>
    <n v="10937"/>
    <s v="7/25/2024"/>
    <n v="1142"/>
    <x v="1"/>
    <x v="1"/>
    <n v="6"/>
    <n v="71.31"/>
    <n v="0.16"/>
    <x v="0"/>
    <n v="4"/>
    <n v="4.3"/>
    <n v="359.4"/>
  </r>
  <r>
    <n v="10938"/>
    <s v="7/26/2024"/>
    <n v="1414"/>
    <x v="0"/>
    <x v="0"/>
    <n v="1"/>
    <n v="182.15"/>
    <n v="0.13"/>
    <x v="1"/>
    <n v="11"/>
    <n v="2.1"/>
    <n v="158.47"/>
  </r>
  <r>
    <n v="10939"/>
    <s v="7/27/2024"/>
    <n v="1512"/>
    <x v="1"/>
    <x v="0"/>
    <n v="5"/>
    <n v="523.63"/>
    <n v="0.27"/>
    <x v="0"/>
    <n v="8"/>
    <n v="1.5"/>
    <n v="1911.25"/>
  </r>
  <r>
    <n v="10940"/>
    <s v="7/28/2024"/>
    <n v="1372"/>
    <x v="3"/>
    <x v="1"/>
    <n v="2"/>
    <n v="57.28"/>
    <n v="0.06"/>
    <x v="0"/>
    <n v="9"/>
    <n v="3.2"/>
    <n v="107.69"/>
  </r>
  <r>
    <n v="10941"/>
    <s v="7/29/2024"/>
    <n v="1565"/>
    <x v="2"/>
    <x v="2"/>
    <n v="7"/>
    <n v="527.39"/>
    <n v="0.34"/>
    <x v="0"/>
    <n v="5"/>
    <n v="3"/>
    <n v="2436.54"/>
  </r>
  <r>
    <n v="10942"/>
    <s v="7/30/2024"/>
    <n v="1885"/>
    <x v="2"/>
    <x v="1"/>
    <n v="2"/>
    <n v="321.70999999999998"/>
    <n v="0.11"/>
    <x v="1"/>
    <n v="5"/>
    <n v="2.4"/>
    <n v="572.64"/>
  </r>
  <r>
    <n v="10943"/>
    <s v="7/31/2024"/>
    <n v="1258"/>
    <x v="2"/>
    <x v="3"/>
    <n v="3"/>
    <n v="253.84"/>
    <n v="0.15"/>
    <x v="1"/>
    <n v="2"/>
    <n v="3.7"/>
    <n v="647.29"/>
  </r>
  <r>
    <n v="10944"/>
    <s v="8/1/2024"/>
    <n v="1655"/>
    <x v="0"/>
    <x v="3"/>
    <n v="5"/>
    <n v="196.16"/>
    <n v="0.1"/>
    <x v="1"/>
    <n v="9"/>
    <n v="1.4"/>
    <n v="882.72"/>
  </r>
  <r>
    <n v="10945"/>
    <s v="8/2/2024"/>
    <n v="1470"/>
    <x v="3"/>
    <x v="2"/>
    <n v="7"/>
    <n v="188.81"/>
    <n v="0.2"/>
    <x v="2"/>
    <n v="11"/>
    <n v="3.5"/>
    <n v="1057.3399999999999"/>
  </r>
  <r>
    <n v="10946"/>
    <s v="8/3/2024"/>
    <n v="1952"/>
    <x v="0"/>
    <x v="0"/>
    <n v="6"/>
    <n v="193.89"/>
    <n v="0.02"/>
    <x v="2"/>
    <n v="4"/>
    <n v="1.8"/>
    <n v="1140.07"/>
  </r>
  <r>
    <n v="10947"/>
    <s v="8/4/2024"/>
    <n v="1970"/>
    <x v="0"/>
    <x v="0"/>
    <n v="6"/>
    <n v="532.61"/>
    <n v="0.05"/>
    <x v="1"/>
    <n v="3"/>
    <n v="1.5"/>
    <n v="3035.88"/>
  </r>
  <r>
    <n v="10948"/>
    <s v="8/5/2024"/>
    <n v="1011"/>
    <x v="2"/>
    <x v="0"/>
    <n v="7"/>
    <n v="438.42"/>
    <n v="0.26"/>
    <x v="2"/>
    <n v="2"/>
    <n v="4.5999999999999996"/>
    <n v="2271.02"/>
  </r>
  <r>
    <n v="10949"/>
    <s v="8/6/2024"/>
    <n v="1329"/>
    <x v="1"/>
    <x v="1"/>
    <n v="6"/>
    <n v="406.79"/>
    <n v="7.0000000000000007E-2"/>
    <x v="1"/>
    <n v="3"/>
    <n v="2.8"/>
    <n v="2269.89"/>
  </r>
  <r>
    <n v="10950"/>
    <s v="8/7/2024"/>
    <n v="1735"/>
    <x v="2"/>
    <x v="1"/>
    <n v="7"/>
    <n v="482.27"/>
    <n v="0.08"/>
    <x v="1"/>
    <n v="4"/>
    <n v="4.0999999999999996"/>
    <n v="3105.82"/>
  </r>
  <r>
    <n v="10951"/>
    <s v="8/8/2024"/>
    <n v="1783"/>
    <x v="2"/>
    <x v="2"/>
    <n v="5"/>
    <n v="165.41"/>
    <n v="0.28000000000000003"/>
    <x v="1"/>
    <n v="9"/>
    <n v="1.4"/>
    <n v="595.48"/>
  </r>
  <r>
    <n v="10952"/>
    <s v="8/9/2024"/>
    <n v="1967"/>
    <x v="2"/>
    <x v="3"/>
    <n v="7"/>
    <n v="376.56"/>
    <n v="0.03"/>
    <x v="1"/>
    <n v="6"/>
    <n v="1.2"/>
    <n v="2556.84"/>
  </r>
  <r>
    <n v="10953"/>
    <s v="8/10/2024"/>
    <n v="1357"/>
    <x v="1"/>
    <x v="0"/>
    <n v="7"/>
    <n v="284.14"/>
    <n v="0.15"/>
    <x v="1"/>
    <n v="10"/>
    <n v="3"/>
    <n v="1690.63"/>
  </r>
  <r>
    <n v="10954"/>
    <s v="8/11/2024"/>
    <n v="1971"/>
    <x v="2"/>
    <x v="3"/>
    <n v="3"/>
    <n v="472.73"/>
    <n v="0.01"/>
    <x v="1"/>
    <n v="5"/>
    <n v="2.2999999999999998"/>
    <n v="1404.01"/>
  </r>
  <r>
    <n v="10955"/>
    <s v="8/12/2024"/>
    <n v="1407"/>
    <x v="2"/>
    <x v="1"/>
    <n v="3"/>
    <n v="195.91"/>
    <n v="0.12"/>
    <x v="0"/>
    <n v="9"/>
    <n v="1"/>
    <n v="517.20000000000005"/>
  </r>
  <r>
    <n v="10956"/>
    <s v="8/13/2024"/>
    <n v="1667"/>
    <x v="2"/>
    <x v="1"/>
    <n v="1"/>
    <n v="391.26"/>
    <n v="0.24"/>
    <x v="2"/>
    <n v="8"/>
    <n v="1.7"/>
    <n v="297.36"/>
  </r>
  <r>
    <n v="10957"/>
    <s v="8/14/2024"/>
    <n v="1372"/>
    <x v="2"/>
    <x v="1"/>
    <n v="5"/>
    <n v="531.09"/>
    <n v="0.03"/>
    <x v="1"/>
    <n v="6"/>
    <n v="1.9"/>
    <n v="2575.79"/>
  </r>
  <r>
    <n v="10958"/>
    <s v="8/15/2024"/>
    <n v="1007"/>
    <x v="0"/>
    <x v="3"/>
    <n v="5"/>
    <n v="250.26"/>
    <n v="0.31"/>
    <x v="2"/>
    <n v="3"/>
    <n v="2.2000000000000002"/>
    <n v="863.4"/>
  </r>
  <r>
    <n v="10959"/>
    <s v="8/16/2024"/>
    <n v="1121"/>
    <x v="3"/>
    <x v="2"/>
    <n v="3"/>
    <n v="53.97"/>
    <n v="0.32"/>
    <x v="2"/>
    <n v="7"/>
    <n v="4.5"/>
    <n v="110.1"/>
  </r>
  <r>
    <n v="10960"/>
    <s v="8/17/2024"/>
    <n v="1347"/>
    <x v="0"/>
    <x v="2"/>
    <n v="4"/>
    <n v="316.89"/>
    <n v="0.04"/>
    <x v="1"/>
    <n v="10"/>
    <n v="2.7"/>
    <n v="1216.8599999999999"/>
  </r>
  <r>
    <n v="10961"/>
    <s v="8/18/2024"/>
    <n v="1675"/>
    <x v="1"/>
    <x v="1"/>
    <n v="4"/>
    <n v="217.39"/>
    <n v="0.35"/>
    <x v="2"/>
    <n v="6"/>
    <n v="3.7"/>
    <n v="565.21"/>
  </r>
  <r>
    <n v="10962"/>
    <s v="8/19/2024"/>
    <n v="1089"/>
    <x v="2"/>
    <x v="0"/>
    <n v="1"/>
    <n v="408.25"/>
    <n v="0.1"/>
    <x v="2"/>
    <n v="11"/>
    <n v="1.1000000000000001"/>
    <n v="367.42"/>
  </r>
  <r>
    <n v="10963"/>
    <s v="8/20/2024"/>
    <n v="1647"/>
    <x v="3"/>
    <x v="3"/>
    <n v="4"/>
    <n v="571.35"/>
    <n v="0.03"/>
    <x v="2"/>
    <n v="8"/>
    <n v="4.3"/>
    <n v="2216.84"/>
  </r>
  <r>
    <n v="10964"/>
    <s v="8/21/2024"/>
    <n v="1697"/>
    <x v="2"/>
    <x v="1"/>
    <n v="4"/>
    <n v="299.08"/>
    <n v="0"/>
    <x v="2"/>
    <n v="6"/>
    <n v="2"/>
    <n v="1196.32"/>
  </r>
  <r>
    <n v="10965"/>
    <s v="8/22/2024"/>
    <n v="1315"/>
    <x v="2"/>
    <x v="3"/>
    <n v="4"/>
    <n v="287.72000000000003"/>
    <n v="0.14000000000000001"/>
    <x v="2"/>
    <n v="11"/>
    <n v="2.2000000000000002"/>
    <n v="989.76"/>
  </r>
  <r>
    <n v="10966"/>
    <s v="8/23/2024"/>
    <n v="1177"/>
    <x v="2"/>
    <x v="3"/>
    <n v="2"/>
    <n v="397.93"/>
    <n v="0.22"/>
    <x v="1"/>
    <n v="10"/>
    <n v="1.2"/>
    <n v="620.77"/>
  </r>
  <r>
    <n v="10967"/>
    <s v="8/24/2024"/>
    <n v="1539"/>
    <x v="2"/>
    <x v="2"/>
    <n v="1"/>
    <n v="75.55"/>
    <n v="0.12"/>
    <x v="0"/>
    <n v="4"/>
    <n v="2.6"/>
    <n v="66.48"/>
  </r>
  <r>
    <n v="10968"/>
    <s v="8/25/2024"/>
    <n v="1731"/>
    <x v="2"/>
    <x v="1"/>
    <n v="3"/>
    <n v="163.30000000000001"/>
    <n v="0.28999999999999998"/>
    <x v="1"/>
    <n v="10"/>
    <n v="4.4000000000000004"/>
    <n v="347.83"/>
  </r>
  <r>
    <n v="10969"/>
    <s v="8/26/2024"/>
    <n v="1868"/>
    <x v="1"/>
    <x v="2"/>
    <n v="4"/>
    <n v="552.6"/>
    <n v="0.25"/>
    <x v="0"/>
    <n v="7"/>
    <n v="2.5"/>
    <n v="1657.8"/>
  </r>
  <r>
    <n v="10970"/>
    <s v="8/27/2024"/>
    <n v="1040"/>
    <x v="3"/>
    <x v="1"/>
    <n v="6"/>
    <n v="406.92"/>
    <n v="0.12"/>
    <x v="1"/>
    <n v="7"/>
    <n v="4.5999999999999996"/>
    <n v="2148.54"/>
  </r>
  <r>
    <n v="10971"/>
    <s v="8/28/2024"/>
    <n v="1739"/>
    <x v="2"/>
    <x v="3"/>
    <n v="7"/>
    <n v="22.86"/>
    <n v="0.26"/>
    <x v="1"/>
    <n v="11"/>
    <n v="4.5"/>
    <n v="118.41"/>
  </r>
  <r>
    <n v="10972"/>
    <s v="8/29/2024"/>
    <n v="1703"/>
    <x v="2"/>
    <x v="2"/>
    <n v="2"/>
    <n v="134.71"/>
    <n v="0.33"/>
    <x v="2"/>
    <n v="8"/>
    <n v="1.2"/>
    <n v="180.51"/>
  </r>
  <r>
    <n v="10973"/>
    <s v="8/30/2024"/>
    <n v="1922"/>
    <x v="3"/>
    <x v="3"/>
    <n v="4"/>
    <n v="414.46"/>
    <n v="0.03"/>
    <x v="1"/>
    <n v="2"/>
    <n v="2.2000000000000002"/>
    <n v="1608.1"/>
  </r>
  <r>
    <n v="10974"/>
    <s v="8/31/2024"/>
    <n v="1501"/>
    <x v="2"/>
    <x v="1"/>
    <n v="7"/>
    <n v="462.17"/>
    <n v="0.11"/>
    <x v="0"/>
    <n v="11"/>
    <n v="4.5999999999999996"/>
    <n v="2879.32"/>
  </r>
  <r>
    <n v="10975"/>
    <s v="9/1/2024"/>
    <n v="1958"/>
    <x v="2"/>
    <x v="0"/>
    <n v="7"/>
    <n v="506.32"/>
    <n v="0.16"/>
    <x v="1"/>
    <n v="6"/>
    <n v="1.1000000000000001"/>
    <n v="2977.16"/>
  </r>
  <r>
    <n v="10976"/>
    <s v="9/2/2024"/>
    <n v="1144"/>
    <x v="0"/>
    <x v="2"/>
    <n v="2"/>
    <n v="185.92"/>
    <n v="0.17"/>
    <x v="2"/>
    <n v="3"/>
    <n v="4.0999999999999996"/>
    <n v="308.63"/>
  </r>
  <r>
    <n v="10977"/>
    <s v="9/3/2024"/>
    <n v="1200"/>
    <x v="2"/>
    <x v="2"/>
    <n v="1"/>
    <n v="559.65"/>
    <n v="0.19"/>
    <x v="1"/>
    <n v="8"/>
    <n v="4.5999999999999996"/>
    <n v="453.32"/>
  </r>
  <r>
    <n v="10978"/>
    <s v="9/4/2024"/>
    <n v="1928"/>
    <x v="2"/>
    <x v="3"/>
    <n v="6"/>
    <n v="338.47"/>
    <n v="0.11"/>
    <x v="1"/>
    <n v="4"/>
    <n v="4.0999999999999996"/>
    <n v="1807.43"/>
  </r>
  <r>
    <n v="10979"/>
    <s v="9/5/2024"/>
    <n v="1723"/>
    <x v="1"/>
    <x v="3"/>
    <n v="6"/>
    <n v="422.48"/>
    <n v="0.23"/>
    <x v="1"/>
    <n v="4"/>
    <n v="4"/>
    <n v="1951.86"/>
  </r>
  <r>
    <n v="10980"/>
    <s v="9/6/2024"/>
    <n v="1460"/>
    <x v="2"/>
    <x v="0"/>
    <n v="6"/>
    <n v="364.09"/>
    <n v="0.23"/>
    <x v="2"/>
    <n v="2"/>
    <n v="4.4000000000000004"/>
    <n v="1682.1"/>
  </r>
  <r>
    <n v="10981"/>
    <s v="9/7/2024"/>
    <n v="1731"/>
    <x v="1"/>
    <x v="2"/>
    <n v="4"/>
    <n v="86.8"/>
    <n v="0.2"/>
    <x v="2"/>
    <n v="6"/>
    <n v="3.7"/>
    <n v="277.76"/>
  </r>
  <r>
    <n v="10982"/>
    <s v="9/8/2024"/>
    <n v="1751"/>
    <x v="3"/>
    <x v="1"/>
    <n v="2"/>
    <n v="578.41999999999996"/>
    <n v="0.04"/>
    <x v="2"/>
    <n v="6"/>
    <n v="2.7"/>
    <n v="1110.57"/>
  </r>
  <r>
    <n v="10983"/>
    <s v="9/9/2024"/>
    <n v="1924"/>
    <x v="2"/>
    <x v="1"/>
    <n v="6"/>
    <n v="86.88"/>
    <n v="0.17"/>
    <x v="0"/>
    <n v="1"/>
    <n v="1.3"/>
    <n v="432.66"/>
  </r>
  <r>
    <n v="10984"/>
    <s v="9/10/2024"/>
    <n v="1908"/>
    <x v="1"/>
    <x v="2"/>
    <n v="7"/>
    <n v="164.11"/>
    <n v="0.12"/>
    <x v="2"/>
    <n v="8"/>
    <n v="4.2"/>
    <n v="1010.92"/>
  </r>
  <r>
    <n v="10985"/>
    <s v="9/11/2024"/>
    <n v="1557"/>
    <x v="1"/>
    <x v="2"/>
    <n v="7"/>
    <n v="490.97"/>
    <n v="0.17"/>
    <x v="0"/>
    <n v="3"/>
    <n v="4.5999999999999996"/>
    <n v="2852.54"/>
  </r>
  <r>
    <n v="10986"/>
    <s v="9/12/2024"/>
    <n v="1546"/>
    <x v="2"/>
    <x v="2"/>
    <n v="5"/>
    <n v="376.88"/>
    <n v="0.32"/>
    <x v="1"/>
    <n v="1"/>
    <n v="3"/>
    <n v="1281.3900000000001"/>
  </r>
  <r>
    <n v="10987"/>
    <s v="9/13/2024"/>
    <n v="1252"/>
    <x v="1"/>
    <x v="0"/>
    <n v="5"/>
    <n v="505.32"/>
    <n v="0.17"/>
    <x v="1"/>
    <n v="10"/>
    <n v="3.1"/>
    <n v="2097.08"/>
  </r>
  <r>
    <n v="10988"/>
    <s v="9/14/2024"/>
    <n v="1389"/>
    <x v="2"/>
    <x v="1"/>
    <n v="2"/>
    <n v="316.70999999999998"/>
    <n v="0"/>
    <x v="1"/>
    <n v="1"/>
    <n v="2.6"/>
    <n v="633.41999999999996"/>
  </r>
  <r>
    <n v="10989"/>
    <s v="9/15/2024"/>
    <n v="1593"/>
    <x v="1"/>
    <x v="1"/>
    <n v="4"/>
    <n v="235.54"/>
    <n v="0.15"/>
    <x v="1"/>
    <n v="1"/>
    <n v="4.4000000000000004"/>
    <n v="800.84"/>
  </r>
  <r>
    <n v="10990"/>
    <s v="9/16/2024"/>
    <n v="1882"/>
    <x v="2"/>
    <x v="3"/>
    <n v="4"/>
    <n v="554.28"/>
    <n v="0.28999999999999998"/>
    <x v="2"/>
    <n v="5"/>
    <n v="1.1000000000000001"/>
    <n v="1574.16"/>
  </r>
  <r>
    <n v="10991"/>
    <s v="9/17/2024"/>
    <n v="1255"/>
    <x v="1"/>
    <x v="3"/>
    <n v="1"/>
    <n v="36.21"/>
    <n v="0.27"/>
    <x v="2"/>
    <n v="5"/>
    <n v="3.5"/>
    <n v="26.43"/>
  </r>
  <r>
    <n v="10992"/>
    <s v="9/18/2024"/>
    <n v="1708"/>
    <x v="2"/>
    <x v="2"/>
    <n v="1"/>
    <n v="515.84"/>
    <n v="0.18"/>
    <x v="2"/>
    <n v="1"/>
    <n v="4.5999999999999996"/>
    <n v="422.99"/>
  </r>
  <r>
    <n v="10993"/>
    <s v="9/19/2024"/>
    <n v="1814"/>
    <x v="3"/>
    <x v="3"/>
    <n v="6"/>
    <n v="150.03"/>
    <n v="0.09"/>
    <x v="2"/>
    <n v="5"/>
    <n v="1.4"/>
    <n v="819.16"/>
  </r>
  <r>
    <n v="10994"/>
    <s v="9/20/2024"/>
    <n v="1920"/>
    <x v="2"/>
    <x v="0"/>
    <n v="3"/>
    <n v="511.51"/>
    <n v="0.16"/>
    <x v="0"/>
    <n v="7"/>
    <n v="4.8"/>
    <n v="1289.01"/>
  </r>
  <r>
    <n v="10995"/>
    <s v="9/21/2024"/>
    <n v="1449"/>
    <x v="1"/>
    <x v="1"/>
    <n v="7"/>
    <n v="96.43"/>
    <n v="0.2"/>
    <x v="0"/>
    <n v="5"/>
    <n v="4.9000000000000004"/>
    <n v="540.01"/>
  </r>
  <r>
    <n v="10996"/>
    <s v="9/22/2024"/>
    <n v="1009"/>
    <x v="1"/>
    <x v="1"/>
    <n v="1"/>
    <n v="354.43"/>
    <n v="0.35"/>
    <x v="1"/>
    <n v="9"/>
    <n v="4.7"/>
    <n v="230.38"/>
  </r>
  <r>
    <n v="10997"/>
    <s v="9/23/2024"/>
    <n v="1823"/>
    <x v="3"/>
    <x v="3"/>
    <n v="4"/>
    <n v="534.54"/>
    <n v="0.23"/>
    <x v="1"/>
    <n v="4"/>
    <n v="2.9"/>
    <n v="1646.38"/>
  </r>
  <r>
    <n v="10998"/>
    <s v="9/24/2024"/>
    <n v="1797"/>
    <x v="1"/>
    <x v="2"/>
    <n v="7"/>
    <n v="292.02"/>
    <n v="0.24"/>
    <x v="1"/>
    <n v="9"/>
    <n v="2.5"/>
    <n v="1553.55"/>
  </r>
  <r>
    <n v="10999"/>
    <s v="9/25/2024"/>
    <n v="1241"/>
    <x v="3"/>
    <x v="3"/>
    <n v="3"/>
    <n v="451.74"/>
    <n v="0.17"/>
    <x v="1"/>
    <n v="8"/>
    <n v="3.8"/>
    <n v="1124.83"/>
  </r>
  <r>
    <n v="11000"/>
    <s v="9/26/2024"/>
    <n v="1250"/>
    <x v="3"/>
    <x v="2"/>
    <n v="1"/>
    <n v="485.73"/>
    <n v="0.12"/>
    <x v="2"/>
    <n v="1"/>
    <n v="2.2999999999999998"/>
    <n v="427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8F57D-0054-4FAD-8089-3E40DC4E6237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6E8B6-7CF3-46E2-BCF3-759E7406E287}" name="PivotTable2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648B6-8348-4F06-BE9A-7B5AEEAA578F}" name="PivotTable3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04BCC-18FD-4A62-9204-0EDBFFDCF2ED}" name="Table1" displayName="Table1" ref="A1:L1001" totalsRowShown="0" headerRowDxfId="2" headerRowBorderDxfId="0" tableBorderDxfId="1">
  <autoFilter ref="A1:L1001" xr:uid="{B7304BCC-18FD-4A62-9204-0EDBFFDCF2ED}"/>
  <tableColumns count="12">
    <tableColumn id="1" xr3:uid="{D9F34A46-61C5-477D-BA70-0A14F33A8708}" name="order_id"/>
    <tableColumn id="2" xr3:uid="{A8B6CBD6-14CC-429C-B3F6-5DBDF1D980A2}" name="order_date"/>
    <tableColumn id="3" xr3:uid="{5F6E907A-F6C4-493C-9396-56289E73F994}" name="customer_id"/>
    <tableColumn id="4" xr3:uid="{F9AF61E3-643B-42F6-A09C-F5776E9EE207}" name="product_category"/>
    <tableColumn id="5" xr3:uid="{627AB94B-43B7-41FC-89D1-38BF5C6F87B1}" name="region"/>
    <tableColumn id="6" xr3:uid="{0177A2BD-CA02-4B84-A1D5-98DD8AD572A5}" name="quantity"/>
    <tableColumn id="7" xr3:uid="{DCC98B79-95E0-47C8-9096-02BB4E45C953}" name="unit_price"/>
    <tableColumn id="8" xr3:uid="{E90A5DC8-23DB-4723-901A-3BF11F6A536A}" name="discount"/>
    <tableColumn id="9" xr3:uid="{6EB908B5-ADCD-4F39-9CF0-911D829A8516}" name="payment_method"/>
    <tableColumn id="10" xr3:uid="{C9A9BB4C-46B8-4F58-80ED-C9CD880414C2}" name="delivery_days"/>
    <tableColumn id="11" xr3:uid="{217427BF-5CFF-417A-883B-DA26467260E5}" name="customer_rating"/>
    <tableColumn id="12" xr3:uid="{4538D9CC-561D-4D0F-8444-35E3B7EDBD96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topLeftCell="S1" workbookViewId="0">
      <selection activeCell="AB2" sqref="AB2"/>
    </sheetView>
  </sheetViews>
  <sheetFormatPr defaultRowHeight="15"/>
  <cols>
    <col min="1" max="1" width="13.42578125" customWidth="1"/>
    <col min="2" max="2" width="15.28515625" customWidth="1"/>
    <col min="3" max="3" width="17.28515625" customWidth="1"/>
    <col min="4" max="4" width="20.85546875" customWidth="1"/>
    <col min="5" max="5" width="13.5703125" customWidth="1"/>
    <col min="6" max="6" width="14.140625" customWidth="1"/>
    <col min="7" max="7" width="16.7109375" customWidth="1"/>
    <col min="8" max="8" width="15.7109375" customWidth="1"/>
    <col min="9" max="9" width="22.28515625" customWidth="1"/>
    <col min="10" max="10" width="18.85546875" customWidth="1"/>
    <col min="11" max="11" width="21.85546875" customWidth="1"/>
    <col min="12" max="12" width="14.85546875" customWidth="1"/>
    <col min="14" max="14" width="22.5703125" customWidth="1"/>
    <col min="18" max="18" width="15" customWidth="1"/>
    <col min="20" max="20" width="10.28515625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5"/>
      <c r="O1" s="5"/>
      <c r="P1" s="4"/>
      <c r="R1" s="4"/>
      <c r="S1" s="6"/>
      <c r="U1" s="4"/>
      <c r="W1" s="4"/>
      <c r="Y1" s="4"/>
      <c r="Z1" s="4"/>
      <c r="AA1" s="4"/>
      <c r="AB1" s="4"/>
    </row>
    <row r="2" spans="1:28">
      <c r="A2">
        <v>10001</v>
      </c>
      <c r="B2" t="s">
        <v>12</v>
      </c>
      <c r="C2">
        <v>1102</v>
      </c>
      <c r="D2" t="s">
        <v>13</v>
      </c>
      <c r="E2" t="s">
        <v>14</v>
      </c>
      <c r="F2">
        <v>7</v>
      </c>
      <c r="G2">
        <v>373.65</v>
      </c>
      <c r="H2">
        <v>0.28000000000000003</v>
      </c>
      <c r="I2" t="s">
        <v>15</v>
      </c>
      <c r="J2">
        <v>10</v>
      </c>
      <c r="K2">
        <v>4.7</v>
      </c>
      <c r="L2">
        <v>1883.2</v>
      </c>
      <c r="N2" s="5" t="s">
        <v>16</v>
      </c>
      <c r="O2" s="5" t="s">
        <v>17</v>
      </c>
      <c r="P2" s="5" t="s">
        <v>18</v>
      </c>
      <c r="R2" s="5" t="s">
        <v>19</v>
      </c>
      <c r="S2" s="4" t="s">
        <v>20</v>
      </c>
      <c r="U2" s="5" t="s">
        <v>21</v>
      </c>
      <c r="V2" s="3"/>
      <c r="W2" s="5" t="s">
        <v>22</v>
      </c>
      <c r="Y2" s="5" t="s">
        <v>23</v>
      </c>
      <c r="Z2" t="s">
        <v>24</v>
      </c>
      <c r="AA2" s="5" t="s">
        <v>25</v>
      </c>
      <c r="AB2" s="5" t="s">
        <v>26</v>
      </c>
    </row>
    <row r="3" spans="1:28">
      <c r="A3">
        <v>10002</v>
      </c>
      <c r="B3" s="7">
        <v>44563</v>
      </c>
      <c r="C3">
        <v>1435</v>
      </c>
      <c r="D3" t="s">
        <v>27</v>
      </c>
      <c r="E3" t="s">
        <v>14</v>
      </c>
      <c r="F3">
        <v>7</v>
      </c>
      <c r="G3">
        <v>47.74</v>
      </c>
      <c r="H3">
        <v>0.09</v>
      </c>
      <c r="I3" t="s">
        <v>28</v>
      </c>
      <c r="J3">
        <v>6</v>
      </c>
      <c r="K3">
        <v>3.9</v>
      </c>
      <c r="L3">
        <v>304.10000000000002</v>
      </c>
      <c r="N3">
        <f>COUNTIF(I2:I1001,"COD")</f>
        <v>348</v>
      </c>
      <c r="O3" t="s">
        <v>29</v>
      </c>
      <c r="P3">
        <f>COUNTIF(E2:E1001,"East")</f>
        <v>269</v>
      </c>
      <c r="Q3" t="s">
        <v>30</v>
      </c>
      <c r="R3">
        <f>MEDIAN(H2:H1001)</f>
        <v>0.19</v>
      </c>
      <c r="S3">
        <f>AVERAGE(K2:K1001)</f>
        <v>2.9656999999999996</v>
      </c>
      <c r="U3">
        <f>COUNTIF(D2:D1001,"Clothing")</f>
        <v>286</v>
      </c>
      <c r="W3">
        <f>MEDIAN(J2:J1001)</f>
        <v>6</v>
      </c>
      <c r="Y3">
        <f>MEDIAN(G2:G1001)</f>
        <v>296.88499999999999</v>
      </c>
      <c r="Z3">
        <f>MEDIAN(F2:F1001)</f>
        <v>4</v>
      </c>
      <c r="AA3">
        <f>MEDIAN(L2:L1001)</f>
        <v>800.84</v>
      </c>
      <c r="AB3">
        <f>MEDIAN(B2:B1001)</f>
        <v>44564</v>
      </c>
    </row>
    <row r="4" spans="1:28">
      <c r="A4">
        <v>10003</v>
      </c>
      <c r="B4" s="7">
        <v>44564</v>
      </c>
      <c r="C4">
        <v>1860</v>
      </c>
      <c r="D4" t="s">
        <v>13</v>
      </c>
      <c r="E4" t="s">
        <v>30</v>
      </c>
      <c r="F4">
        <v>3</v>
      </c>
      <c r="G4">
        <v>311.27999999999997</v>
      </c>
      <c r="H4">
        <v>0.31</v>
      </c>
      <c r="I4" t="s">
        <v>31</v>
      </c>
      <c r="J4">
        <v>6</v>
      </c>
      <c r="K4">
        <v>2.5</v>
      </c>
      <c r="L4">
        <v>644.35</v>
      </c>
      <c r="N4">
        <f>COUNTIF(I2:I1001,"Wallet")</f>
        <v>200</v>
      </c>
      <c r="O4" t="s">
        <v>15</v>
      </c>
      <c r="P4">
        <f>COUNTIF(E2:E1001,"west")</f>
        <v>238</v>
      </c>
      <c r="Q4" t="s">
        <v>32</v>
      </c>
      <c r="U4">
        <f>COUNTIF(D2:D1001,"Home")</f>
        <v>221</v>
      </c>
    </row>
    <row r="5" spans="1:28">
      <c r="A5">
        <v>10004</v>
      </c>
      <c r="B5" t="s">
        <v>33</v>
      </c>
      <c r="C5">
        <v>1270</v>
      </c>
      <c r="D5" t="s">
        <v>34</v>
      </c>
      <c r="E5" t="s">
        <v>32</v>
      </c>
      <c r="F5">
        <v>5</v>
      </c>
      <c r="G5">
        <v>524.47</v>
      </c>
      <c r="H5">
        <v>0.02</v>
      </c>
      <c r="I5" t="s">
        <v>15</v>
      </c>
      <c r="J5">
        <v>6</v>
      </c>
      <c r="K5">
        <v>1.6</v>
      </c>
      <c r="L5">
        <v>2569.9</v>
      </c>
      <c r="N5">
        <f>COUNTIF(I2:I1001,"Card")</f>
        <v>452</v>
      </c>
      <c r="O5" s="3" t="s">
        <v>35</v>
      </c>
      <c r="P5">
        <f>COUNTIF(E2:E1001,"North")</f>
        <v>271</v>
      </c>
      <c r="Q5" t="s">
        <v>36</v>
      </c>
      <c r="U5">
        <f>COUNTIF(D2:D1001,"Beauty")</f>
        <v>138</v>
      </c>
    </row>
    <row r="6" spans="1:28">
      <c r="A6">
        <v>10005</v>
      </c>
      <c r="B6" t="s">
        <v>37</v>
      </c>
      <c r="C6">
        <v>1106</v>
      </c>
      <c r="D6" t="s">
        <v>27</v>
      </c>
      <c r="E6" t="s">
        <v>32</v>
      </c>
      <c r="F6">
        <v>5</v>
      </c>
      <c r="G6">
        <v>139.87</v>
      </c>
      <c r="H6">
        <v>0.33</v>
      </c>
      <c r="I6" t="s">
        <v>15</v>
      </c>
      <c r="J6">
        <v>4</v>
      </c>
      <c r="K6">
        <v>4.9000000000000004</v>
      </c>
      <c r="L6">
        <v>468.56</v>
      </c>
      <c r="P6">
        <f>COUNTIF(E2:E1001,"South")</f>
        <v>222</v>
      </c>
      <c r="Q6" s="3" t="s">
        <v>14</v>
      </c>
      <c r="U6">
        <f>COUNTIF(D2:D1001,"Electronics")</f>
        <v>355</v>
      </c>
      <c r="V6" s="3" t="s">
        <v>38</v>
      </c>
    </row>
    <row r="7" spans="1:28">
      <c r="A7">
        <v>10006</v>
      </c>
      <c r="B7" t="s">
        <v>39</v>
      </c>
      <c r="C7">
        <v>1071</v>
      </c>
      <c r="D7" t="s">
        <v>34</v>
      </c>
      <c r="E7" t="s">
        <v>32</v>
      </c>
      <c r="F7">
        <v>2</v>
      </c>
      <c r="G7">
        <v>264.44</v>
      </c>
      <c r="H7">
        <v>0.2</v>
      </c>
      <c r="I7" t="s">
        <v>28</v>
      </c>
      <c r="J7">
        <v>3</v>
      </c>
      <c r="K7">
        <v>3.3</v>
      </c>
      <c r="L7">
        <v>423.1</v>
      </c>
      <c r="N7" s="4" t="s">
        <v>40</v>
      </c>
    </row>
    <row r="8" spans="1:28">
      <c r="A8">
        <v>10007</v>
      </c>
      <c r="B8" t="s">
        <v>41</v>
      </c>
      <c r="C8">
        <v>1700</v>
      </c>
      <c r="D8" t="s">
        <v>27</v>
      </c>
      <c r="E8" t="s">
        <v>14</v>
      </c>
      <c r="F8">
        <v>6</v>
      </c>
      <c r="G8">
        <v>564.6</v>
      </c>
      <c r="H8">
        <v>0.23</v>
      </c>
      <c r="I8" t="s">
        <v>28</v>
      </c>
      <c r="J8">
        <v>1</v>
      </c>
      <c r="K8">
        <v>1.8</v>
      </c>
      <c r="L8">
        <v>2608.4499999999998</v>
      </c>
      <c r="N8">
        <f>COUNTBLANK(B2:B1001)</f>
        <v>0</v>
      </c>
    </row>
    <row r="9" spans="1:28">
      <c r="A9">
        <v>10008</v>
      </c>
      <c r="B9" t="s">
        <v>42</v>
      </c>
      <c r="C9">
        <v>1020</v>
      </c>
      <c r="D9" t="s">
        <v>13</v>
      </c>
      <c r="E9" t="s">
        <v>43</v>
      </c>
      <c r="F9">
        <v>6</v>
      </c>
      <c r="G9">
        <v>265.70999999999998</v>
      </c>
      <c r="H9">
        <v>0.13</v>
      </c>
      <c r="I9" t="s">
        <v>28</v>
      </c>
      <c r="J9">
        <v>2</v>
      </c>
      <c r="K9">
        <v>3.7</v>
      </c>
      <c r="L9">
        <v>1387.01</v>
      </c>
      <c r="N9">
        <f>COUNTBLANK(C2:C1001)</f>
        <v>0</v>
      </c>
    </row>
    <row r="10" spans="1:28">
      <c r="A10">
        <v>10009</v>
      </c>
      <c r="B10" t="s">
        <v>44</v>
      </c>
      <c r="C10">
        <v>1614</v>
      </c>
      <c r="D10" t="s">
        <v>27</v>
      </c>
      <c r="E10" t="s">
        <v>14</v>
      </c>
      <c r="F10">
        <v>6</v>
      </c>
      <c r="G10">
        <v>224.65</v>
      </c>
      <c r="H10">
        <v>0.27</v>
      </c>
      <c r="I10" t="s">
        <v>28</v>
      </c>
      <c r="J10">
        <v>2</v>
      </c>
      <c r="K10">
        <v>1.4</v>
      </c>
      <c r="L10">
        <v>983.97</v>
      </c>
    </row>
    <row r="11" spans="1:28">
      <c r="A11">
        <v>10010</v>
      </c>
      <c r="B11" t="s">
        <v>45</v>
      </c>
      <c r="C11">
        <v>1121</v>
      </c>
      <c r="D11" t="s">
        <v>27</v>
      </c>
      <c r="E11" t="s">
        <v>32</v>
      </c>
      <c r="F11">
        <v>4</v>
      </c>
      <c r="G11">
        <v>272.70999999999998</v>
      </c>
      <c r="H11">
        <v>0.06</v>
      </c>
      <c r="I11" t="s">
        <v>28</v>
      </c>
      <c r="J11">
        <v>10</v>
      </c>
      <c r="K11">
        <v>4.5</v>
      </c>
      <c r="L11">
        <v>1025.3900000000001</v>
      </c>
    </row>
    <row r="12" spans="1:28">
      <c r="A12">
        <v>10011</v>
      </c>
      <c r="B12" t="s">
        <v>46</v>
      </c>
      <c r="C12">
        <v>1466</v>
      </c>
      <c r="D12" t="s">
        <v>27</v>
      </c>
      <c r="E12" t="s">
        <v>32</v>
      </c>
      <c r="F12">
        <v>6</v>
      </c>
      <c r="G12">
        <v>318.88</v>
      </c>
      <c r="H12">
        <v>0.02</v>
      </c>
      <c r="I12" t="s">
        <v>31</v>
      </c>
      <c r="J12">
        <v>7</v>
      </c>
      <c r="K12">
        <v>1.4</v>
      </c>
      <c r="L12">
        <v>1875.01</v>
      </c>
    </row>
    <row r="13" spans="1:28">
      <c r="A13">
        <v>10012</v>
      </c>
      <c r="B13" t="s">
        <v>47</v>
      </c>
      <c r="C13">
        <v>1214</v>
      </c>
      <c r="D13" t="s">
        <v>34</v>
      </c>
      <c r="E13" t="s">
        <v>32</v>
      </c>
      <c r="F13">
        <v>3</v>
      </c>
      <c r="G13">
        <v>384.71</v>
      </c>
      <c r="H13">
        <v>0.14000000000000001</v>
      </c>
      <c r="I13" t="s">
        <v>31</v>
      </c>
      <c r="J13">
        <v>11</v>
      </c>
      <c r="K13">
        <v>1.9</v>
      </c>
      <c r="L13">
        <v>992.55</v>
      </c>
    </row>
    <row r="14" spans="1:28">
      <c r="A14">
        <v>10013</v>
      </c>
      <c r="B14" t="s">
        <v>48</v>
      </c>
      <c r="C14">
        <v>1330</v>
      </c>
      <c r="D14" t="s">
        <v>13</v>
      </c>
      <c r="E14" t="s">
        <v>14</v>
      </c>
      <c r="F14">
        <v>7</v>
      </c>
      <c r="G14">
        <v>483.41</v>
      </c>
      <c r="H14">
        <v>0.3</v>
      </c>
      <c r="I14" t="s">
        <v>31</v>
      </c>
      <c r="J14">
        <v>6</v>
      </c>
      <c r="K14">
        <v>1.4</v>
      </c>
      <c r="L14">
        <v>2368.71</v>
      </c>
    </row>
    <row r="15" spans="1:28">
      <c r="A15">
        <v>10014</v>
      </c>
      <c r="B15" t="s">
        <v>49</v>
      </c>
      <c r="C15">
        <v>1458</v>
      </c>
      <c r="D15" t="s">
        <v>27</v>
      </c>
      <c r="E15" t="s">
        <v>32</v>
      </c>
      <c r="F15">
        <v>7</v>
      </c>
      <c r="G15">
        <v>279.48</v>
      </c>
      <c r="H15">
        <v>0.26</v>
      </c>
      <c r="I15" t="s">
        <v>31</v>
      </c>
      <c r="J15">
        <v>8</v>
      </c>
      <c r="K15">
        <v>1.4</v>
      </c>
      <c r="L15">
        <v>1447.71</v>
      </c>
    </row>
    <row r="16" spans="1:28">
      <c r="A16">
        <v>10015</v>
      </c>
      <c r="B16" t="s">
        <v>50</v>
      </c>
      <c r="C16">
        <v>1087</v>
      </c>
      <c r="D16" t="s">
        <v>27</v>
      </c>
      <c r="E16" t="s">
        <v>30</v>
      </c>
      <c r="F16">
        <v>4</v>
      </c>
      <c r="G16">
        <v>493.23</v>
      </c>
      <c r="H16">
        <v>0.18</v>
      </c>
      <c r="I16" t="s">
        <v>28</v>
      </c>
      <c r="J16">
        <v>9</v>
      </c>
      <c r="K16">
        <v>3.1</v>
      </c>
      <c r="L16">
        <v>1617.79</v>
      </c>
      <c r="N16" s="4"/>
      <c r="O16" s="4"/>
    </row>
    <row r="17" spans="1:15">
      <c r="A17">
        <v>10016</v>
      </c>
      <c r="B17" t="s">
        <v>51</v>
      </c>
      <c r="C17">
        <v>1372</v>
      </c>
      <c r="D17" t="s">
        <v>27</v>
      </c>
      <c r="E17" t="s">
        <v>32</v>
      </c>
      <c r="F17">
        <v>2</v>
      </c>
      <c r="G17">
        <v>327.23</v>
      </c>
      <c r="H17">
        <v>0.2</v>
      </c>
      <c r="I17" t="s">
        <v>15</v>
      </c>
      <c r="J17">
        <v>5</v>
      </c>
      <c r="K17">
        <v>3.7</v>
      </c>
      <c r="L17">
        <v>523.57000000000005</v>
      </c>
      <c r="O17" s="3"/>
    </row>
    <row r="18" spans="1:15">
      <c r="A18">
        <v>10017</v>
      </c>
      <c r="B18" t="s">
        <v>52</v>
      </c>
      <c r="C18">
        <v>1099</v>
      </c>
      <c r="D18" t="s">
        <v>27</v>
      </c>
      <c r="E18" t="s">
        <v>43</v>
      </c>
      <c r="F18">
        <v>3</v>
      </c>
      <c r="G18">
        <v>213.01</v>
      </c>
      <c r="H18">
        <v>0.05</v>
      </c>
      <c r="I18" t="s">
        <v>15</v>
      </c>
      <c r="J18">
        <v>11</v>
      </c>
      <c r="K18">
        <v>4.2</v>
      </c>
      <c r="L18">
        <v>607.08000000000004</v>
      </c>
    </row>
    <row r="19" spans="1:15">
      <c r="A19">
        <v>10018</v>
      </c>
      <c r="B19" t="s">
        <v>53</v>
      </c>
      <c r="C19">
        <v>1871</v>
      </c>
      <c r="D19" t="s">
        <v>34</v>
      </c>
      <c r="E19" t="s">
        <v>30</v>
      </c>
      <c r="F19">
        <v>7</v>
      </c>
      <c r="G19">
        <v>399.9</v>
      </c>
      <c r="H19">
        <v>0.28999999999999998</v>
      </c>
      <c r="I19" t="s">
        <v>31</v>
      </c>
      <c r="J19">
        <v>3</v>
      </c>
      <c r="K19">
        <v>3.8</v>
      </c>
      <c r="L19">
        <v>1987.5</v>
      </c>
      <c r="O19" s="3"/>
    </row>
    <row r="20" spans="1:15">
      <c r="A20">
        <v>10019</v>
      </c>
      <c r="B20" t="s">
        <v>54</v>
      </c>
      <c r="C20">
        <v>1663</v>
      </c>
      <c r="D20" t="s">
        <v>55</v>
      </c>
      <c r="E20" t="s">
        <v>32</v>
      </c>
      <c r="F20">
        <v>3</v>
      </c>
      <c r="G20">
        <v>434.87</v>
      </c>
      <c r="H20">
        <v>0.28000000000000003</v>
      </c>
      <c r="I20" t="s">
        <v>15</v>
      </c>
      <c r="J20">
        <v>4</v>
      </c>
      <c r="K20">
        <v>2.5</v>
      </c>
      <c r="L20">
        <v>939.32</v>
      </c>
    </row>
    <row r="21" spans="1:15">
      <c r="A21">
        <v>10020</v>
      </c>
      <c r="B21" t="s">
        <v>56</v>
      </c>
      <c r="C21">
        <v>1130</v>
      </c>
      <c r="D21" t="s">
        <v>34</v>
      </c>
      <c r="E21" t="s">
        <v>30</v>
      </c>
      <c r="F21">
        <v>7</v>
      </c>
      <c r="G21">
        <v>341.46</v>
      </c>
      <c r="H21">
        <v>0.23</v>
      </c>
      <c r="I21" t="s">
        <v>28</v>
      </c>
      <c r="J21">
        <v>11</v>
      </c>
      <c r="K21">
        <v>3.2</v>
      </c>
      <c r="L21">
        <v>1840.47</v>
      </c>
    </row>
    <row r="22" spans="1:15">
      <c r="A22">
        <v>10021</v>
      </c>
      <c r="B22" t="s">
        <v>57</v>
      </c>
      <c r="C22">
        <v>1661</v>
      </c>
      <c r="D22" t="s">
        <v>55</v>
      </c>
      <c r="E22" t="s">
        <v>32</v>
      </c>
      <c r="F22">
        <v>1</v>
      </c>
      <c r="G22">
        <v>48.12</v>
      </c>
      <c r="H22">
        <v>0.16</v>
      </c>
      <c r="I22" t="s">
        <v>28</v>
      </c>
      <c r="J22">
        <v>8</v>
      </c>
      <c r="K22">
        <v>4.7</v>
      </c>
      <c r="L22">
        <v>40.42</v>
      </c>
    </row>
    <row r="23" spans="1:15">
      <c r="A23">
        <v>10022</v>
      </c>
      <c r="B23" t="s">
        <v>58</v>
      </c>
      <c r="C23">
        <v>1308</v>
      </c>
      <c r="D23" t="s">
        <v>55</v>
      </c>
      <c r="E23" t="s">
        <v>43</v>
      </c>
      <c r="F23">
        <v>2</v>
      </c>
      <c r="G23">
        <v>114.38</v>
      </c>
      <c r="H23">
        <v>0.34</v>
      </c>
      <c r="I23" t="s">
        <v>28</v>
      </c>
      <c r="J23">
        <v>3</v>
      </c>
      <c r="K23">
        <v>2.6</v>
      </c>
      <c r="L23">
        <v>150.97999999999999</v>
      </c>
    </row>
    <row r="24" spans="1:15">
      <c r="A24">
        <v>10023</v>
      </c>
      <c r="B24" t="s">
        <v>59</v>
      </c>
      <c r="C24">
        <v>1769</v>
      </c>
      <c r="D24" t="s">
        <v>55</v>
      </c>
      <c r="E24" t="s">
        <v>32</v>
      </c>
      <c r="F24">
        <v>2</v>
      </c>
      <c r="G24">
        <v>181.9</v>
      </c>
      <c r="H24">
        <v>0.31</v>
      </c>
      <c r="I24" t="s">
        <v>28</v>
      </c>
      <c r="J24">
        <v>2</v>
      </c>
      <c r="K24">
        <v>2</v>
      </c>
      <c r="L24">
        <v>251.02</v>
      </c>
    </row>
    <row r="25" spans="1:15">
      <c r="A25">
        <v>10024</v>
      </c>
      <c r="B25" t="s">
        <v>60</v>
      </c>
      <c r="C25">
        <v>1343</v>
      </c>
      <c r="D25" t="s">
        <v>27</v>
      </c>
      <c r="E25" t="s">
        <v>30</v>
      </c>
      <c r="F25">
        <v>1</v>
      </c>
      <c r="G25">
        <v>180.34</v>
      </c>
      <c r="H25">
        <v>0.23</v>
      </c>
      <c r="I25" t="s">
        <v>28</v>
      </c>
      <c r="J25">
        <v>7</v>
      </c>
      <c r="K25">
        <v>3.1</v>
      </c>
      <c r="L25">
        <v>138.86000000000001</v>
      </c>
    </row>
    <row r="26" spans="1:15">
      <c r="A26">
        <v>10025</v>
      </c>
      <c r="B26" t="s">
        <v>61</v>
      </c>
      <c r="C26">
        <v>1491</v>
      </c>
      <c r="D26" t="s">
        <v>27</v>
      </c>
      <c r="E26" t="s">
        <v>43</v>
      </c>
      <c r="F26">
        <v>4</v>
      </c>
      <c r="G26">
        <v>408.95</v>
      </c>
      <c r="H26">
        <v>0.13</v>
      </c>
      <c r="I26" t="s">
        <v>31</v>
      </c>
      <c r="J26">
        <v>4</v>
      </c>
      <c r="K26">
        <v>2.2000000000000002</v>
      </c>
      <c r="L26">
        <v>1423.15</v>
      </c>
    </row>
    <row r="27" spans="1:15">
      <c r="A27">
        <v>10026</v>
      </c>
      <c r="B27" t="s">
        <v>62</v>
      </c>
      <c r="C27">
        <v>1413</v>
      </c>
      <c r="D27" t="s">
        <v>34</v>
      </c>
      <c r="E27" t="s">
        <v>14</v>
      </c>
      <c r="F27">
        <v>7</v>
      </c>
      <c r="G27">
        <v>25.73</v>
      </c>
      <c r="H27">
        <v>0.22</v>
      </c>
      <c r="I27" t="s">
        <v>28</v>
      </c>
      <c r="J27">
        <v>8</v>
      </c>
      <c r="K27">
        <v>2</v>
      </c>
      <c r="L27">
        <v>140.49</v>
      </c>
    </row>
    <row r="28" spans="1:15">
      <c r="A28">
        <v>10027</v>
      </c>
      <c r="B28" t="s">
        <v>63</v>
      </c>
      <c r="C28">
        <v>1805</v>
      </c>
      <c r="D28" t="s">
        <v>55</v>
      </c>
      <c r="E28" t="s">
        <v>43</v>
      </c>
      <c r="F28">
        <v>7</v>
      </c>
      <c r="G28">
        <v>457.07</v>
      </c>
      <c r="H28">
        <v>0.2</v>
      </c>
      <c r="I28" t="s">
        <v>31</v>
      </c>
      <c r="J28">
        <v>1</v>
      </c>
      <c r="K28">
        <v>4.0999999999999996</v>
      </c>
      <c r="L28">
        <v>2559.59</v>
      </c>
    </row>
    <row r="29" spans="1:15">
      <c r="A29">
        <v>10028</v>
      </c>
      <c r="B29" t="s">
        <v>64</v>
      </c>
      <c r="C29">
        <v>1385</v>
      </c>
      <c r="D29" t="s">
        <v>34</v>
      </c>
      <c r="E29" t="s">
        <v>43</v>
      </c>
      <c r="F29">
        <v>7</v>
      </c>
      <c r="G29">
        <v>170.23</v>
      </c>
      <c r="H29">
        <v>0.14000000000000001</v>
      </c>
      <c r="I29" t="s">
        <v>28</v>
      </c>
      <c r="J29">
        <v>8</v>
      </c>
      <c r="K29">
        <v>4.5999999999999996</v>
      </c>
      <c r="L29">
        <v>1024.78</v>
      </c>
    </row>
    <row r="30" spans="1:15">
      <c r="A30">
        <v>10029</v>
      </c>
      <c r="B30" t="s">
        <v>65</v>
      </c>
      <c r="C30">
        <v>1191</v>
      </c>
      <c r="D30" t="s">
        <v>27</v>
      </c>
      <c r="E30" t="s">
        <v>43</v>
      </c>
      <c r="F30">
        <v>6</v>
      </c>
      <c r="G30">
        <v>196.36</v>
      </c>
      <c r="H30">
        <v>0.11</v>
      </c>
      <c r="I30" t="s">
        <v>15</v>
      </c>
      <c r="J30">
        <v>5</v>
      </c>
      <c r="K30">
        <v>3</v>
      </c>
      <c r="L30">
        <v>1048.56</v>
      </c>
    </row>
    <row r="31" spans="1:15">
      <c r="A31">
        <v>10030</v>
      </c>
      <c r="B31" t="s">
        <v>66</v>
      </c>
      <c r="C31">
        <v>1955</v>
      </c>
      <c r="D31" t="s">
        <v>34</v>
      </c>
      <c r="E31" t="s">
        <v>30</v>
      </c>
      <c r="F31">
        <v>6</v>
      </c>
      <c r="G31">
        <v>323.83</v>
      </c>
      <c r="H31">
        <v>0.14000000000000001</v>
      </c>
      <c r="I31" t="s">
        <v>31</v>
      </c>
      <c r="J31">
        <v>2</v>
      </c>
      <c r="K31">
        <v>4.0999999999999996</v>
      </c>
      <c r="L31">
        <v>1670.96</v>
      </c>
    </row>
    <row r="32" spans="1:15">
      <c r="A32">
        <v>10031</v>
      </c>
      <c r="B32" t="s">
        <v>67</v>
      </c>
      <c r="C32">
        <v>1276</v>
      </c>
      <c r="D32" t="s">
        <v>34</v>
      </c>
      <c r="E32" t="s">
        <v>43</v>
      </c>
      <c r="F32">
        <v>6</v>
      </c>
      <c r="G32">
        <v>141.32</v>
      </c>
      <c r="H32">
        <v>0.2</v>
      </c>
      <c r="I32" t="s">
        <v>28</v>
      </c>
      <c r="J32">
        <v>1</v>
      </c>
      <c r="K32">
        <v>1.7</v>
      </c>
      <c r="L32">
        <v>678.34</v>
      </c>
    </row>
    <row r="33" spans="1:12">
      <c r="A33">
        <v>10032</v>
      </c>
      <c r="B33" t="s">
        <v>68</v>
      </c>
      <c r="C33">
        <v>1160</v>
      </c>
      <c r="D33" t="s">
        <v>27</v>
      </c>
      <c r="E33" t="s">
        <v>32</v>
      </c>
      <c r="F33">
        <v>6</v>
      </c>
      <c r="G33">
        <v>532.41999999999996</v>
      </c>
      <c r="H33">
        <v>0.15</v>
      </c>
      <c r="I33" t="s">
        <v>28</v>
      </c>
      <c r="J33">
        <v>6</v>
      </c>
      <c r="K33">
        <v>3.2</v>
      </c>
      <c r="L33">
        <v>2715.34</v>
      </c>
    </row>
    <row r="34" spans="1:12">
      <c r="A34">
        <v>10033</v>
      </c>
      <c r="B34" t="s">
        <v>69</v>
      </c>
      <c r="C34">
        <v>1459</v>
      </c>
      <c r="D34" t="s">
        <v>34</v>
      </c>
      <c r="E34" t="s">
        <v>43</v>
      </c>
      <c r="F34">
        <v>6</v>
      </c>
      <c r="G34">
        <v>64.94</v>
      </c>
      <c r="H34">
        <v>0.09</v>
      </c>
      <c r="I34" t="s">
        <v>15</v>
      </c>
      <c r="J34">
        <v>9</v>
      </c>
      <c r="K34">
        <v>3.5</v>
      </c>
      <c r="L34">
        <v>354.57</v>
      </c>
    </row>
    <row r="35" spans="1:12">
      <c r="A35">
        <v>10034</v>
      </c>
      <c r="B35" t="s">
        <v>70</v>
      </c>
      <c r="C35">
        <v>1313</v>
      </c>
      <c r="D35" t="s">
        <v>55</v>
      </c>
      <c r="E35" t="s">
        <v>43</v>
      </c>
      <c r="F35">
        <v>1</v>
      </c>
      <c r="G35">
        <v>274.95999999999998</v>
      </c>
      <c r="H35">
        <v>0.27</v>
      </c>
      <c r="I35" t="s">
        <v>28</v>
      </c>
      <c r="J35">
        <v>9</v>
      </c>
      <c r="K35">
        <v>2.9</v>
      </c>
      <c r="L35">
        <v>200.72</v>
      </c>
    </row>
    <row r="36" spans="1:12">
      <c r="A36">
        <v>10035</v>
      </c>
      <c r="B36" t="s">
        <v>71</v>
      </c>
      <c r="C36">
        <v>1021</v>
      </c>
      <c r="D36" t="s">
        <v>34</v>
      </c>
      <c r="E36" t="s">
        <v>32</v>
      </c>
      <c r="F36">
        <v>2</v>
      </c>
      <c r="G36">
        <v>511.91</v>
      </c>
      <c r="H36">
        <v>0.19</v>
      </c>
      <c r="I36" t="s">
        <v>31</v>
      </c>
      <c r="J36">
        <v>9</v>
      </c>
      <c r="K36">
        <v>1.5</v>
      </c>
      <c r="L36">
        <v>829.29</v>
      </c>
    </row>
    <row r="37" spans="1:12">
      <c r="A37">
        <v>10036</v>
      </c>
      <c r="B37" t="s">
        <v>72</v>
      </c>
      <c r="C37">
        <v>1252</v>
      </c>
      <c r="D37" t="s">
        <v>34</v>
      </c>
      <c r="E37" t="s">
        <v>32</v>
      </c>
      <c r="F37">
        <v>4</v>
      </c>
      <c r="G37">
        <v>375.27</v>
      </c>
      <c r="H37">
        <v>0.02</v>
      </c>
      <c r="I37" t="s">
        <v>31</v>
      </c>
      <c r="J37">
        <v>11</v>
      </c>
      <c r="K37">
        <v>3.9</v>
      </c>
      <c r="L37">
        <v>1471.06</v>
      </c>
    </row>
    <row r="38" spans="1:12">
      <c r="A38">
        <v>10037</v>
      </c>
      <c r="B38" t="s">
        <v>73</v>
      </c>
      <c r="C38">
        <v>1747</v>
      </c>
      <c r="D38" t="s">
        <v>27</v>
      </c>
      <c r="E38" t="s">
        <v>14</v>
      </c>
      <c r="F38">
        <v>3</v>
      </c>
      <c r="G38">
        <v>186.01</v>
      </c>
      <c r="H38">
        <v>0.13</v>
      </c>
      <c r="I38" t="s">
        <v>28</v>
      </c>
      <c r="J38">
        <v>4</v>
      </c>
      <c r="K38">
        <v>4.4000000000000004</v>
      </c>
      <c r="L38">
        <v>485.49</v>
      </c>
    </row>
    <row r="39" spans="1:12">
      <c r="A39">
        <v>10038</v>
      </c>
      <c r="B39" t="s">
        <v>74</v>
      </c>
      <c r="C39">
        <v>1856</v>
      </c>
      <c r="D39" t="s">
        <v>34</v>
      </c>
      <c r="E39" t="s">
        <v>43</v>
      </c>
      <c r="F39">
        <v>6</v>
      </c>
      <c r="G39">
        <v>261.14</v>
      </c>
      <c r="H39">
        <v>0.31</v>
      </c>
      <c r="I39" t="s">
        <v>28</v>
      </c>
      <c r="J39">
        <v>6</v>
      </c>
      <c r="K39">
        <v>3.5</v>
      </c>
      <c r="L39">
        <v>1081.1199999999999</v>
      </c>
    </row>
    <row r="40" spans="1:12">
      <c r="A40">
        <v>10039</v>
      </c>
      <c r="B40" t="s">
        <v>75</v>
      </c>
      <c r="C40">
        <v>1560</v>
      </c>
      <c r="D40" t="s">
        <v>34</v>
      </c>
      <c r="E40" t="s">
        <v>30</v>
      </c>
      <c r="F40">
        <v>1</v>
      </c>
      <c r="G40">
        <v>428.42</v>
      </c>
      <c r="H40">
        <v>0.26</v>
      </c>
      <c r="I40" t="s">
        <v>31</v>
      </c>
      <c r="J40">
        <v>10</v>
      </c>
      <c r="K40">
        <v>1.7</v>
      </c>
      <c r="L40">
        <v>317.02999999999997</v>
      </c>
    </row>
    <row r="41" spans="1:12">
      <c r="A41">
        <v>10040</v>
      </c>
      <c r="B41" t="s">
        <v>76</v>
      </c>
      <c r="C41">
        <v>1474</v>
      </c>
      <c r="D41" t="s">
        <v>55</v>
      </c>
      <c r="E41" t="s">
        <v>43</v>
      </c>
      <c r="F41">
        <v>7</v>
      </c>
      <c r="G41">
        <v>584.36</v>
      </c>
      <c r="H41">
        <v>0.11</v>
      </c>
      <c r="I41" t="s">
        <v>28</v>
      </c>
      <c r="J41">
        <v>6</v>
      </c>
      <c r="K41">
        <v>1.3</v>
      </c>
      <c r="L41">
        <v>3640.56</v>
      </c>
    </row>
    <row r="42" spans="1:12">
      <c r="A42">
        <v>10041</v>
      </c>
      <c r="B42" t="s">
        <v>77</v>
      </c>
      <c r="C42">
        <v>1058</v>
      </c>
      <c r="D42" t="s">
        <v>34</v>
      </c>
      <c r="E42" t="s">
        <v>43</v>
      </c>
      <c r="F42">
        <v>4</v>
      </c>
      <c r="G42">
        <v>537.49</v>
      </c>
      <c r="H42">
        <v>0.33</v>
      </c>
      <c r="I42" t="s">
        <v>28</v>
      </c>
      <c r="J42">
        <v>5</v>
      </c>
      <c r="K42">
        <v>2.2000000000000002</v>
      </c>
      <c r="L42">
        <v>1440.47</v>
      </c>
    </row>
    <row r="43" spans="1:12">
      <c r="A43">
        <v>10042</v>
      </c>
      <c r="B43" t="s">
        <v>78</v>
      </c>
      <c r="C43">
        <v>1510</v>
      </c>
      <c r="D43" t="s">
        <v>55</v>
      </c>
      <c r="E43" t="s">
        <v>32</v>
      </c>
      <c r="F43">
        <v>4</v>
      </c>
      <c r="G43">
        <v>215.32</v>
      </c>
      <c r="H43">
        <v>0.03</v>
      </c>
      <c r="I43" t="s">
        <v>28</v>
      </c>
      <c r="J43">
        <v>2</v>
      </c>
      <c r="K43">
        <v>1.1000000000000001</v>
      </c>
      <c r="L43">
        <v>835.44</v>
      </c>
    </row>
    <row r="44" spans="1:12">
      <c r="A44">
        <v>10043</v>
      </c>
      <c r="B44" t="s">
        <v>79</v>
      </c>
      <c r="C44">
        <v>1681</v>
      </c>
      <c r="D44" t="s">
        <v>34</v>
      </c>
      <c r="E44" t="s">
        <v>14</v>
      </c>
      <c r="F44">
        <v>4</v>
      </c>
      <c r="G44">
        <v>598.95000000000005</v>
      </c>
      <c r="H44">
        <v>0.34</v>
      </c>
      <c r="I44" t="s">
        <v>28</v>
      </c>
      <c r="J44">
        <v>7</v>
      </c>
      <c r="K44">
        <v>4.4000000000000004</v>
      </c>
      <c r="L44">
        <v>1581.23</v>
      </c>
    </row>
    <row r="45" spans="1:12">
      <c r="A45">
        <v>10044</v>
      </c>
      <c r="B45" t="s">
        <v>80</v>
      </c>
      <c r="C45">
        <v>1475</v>
      </c>
      <c r="D45" t="s">
        <v>34</v>
      </c>
      <c r="E45" t="s">
        <v>43</v>
      </c>
      <c r="F45">
        <v>1</v>
      </c>
      <c r="G45">
        <v>17.05</v>
      </c>
      <c r="H45">
        <v>0.09</v>
      </c>
      <c r="I45" t="s">
        <v>28</v>
      </c>
      <c r="J45">
        <v>1</v>
      </c>
      <c r="K45">
        <v>3.8</v>
      </c>
      <c r="L45">
        <v>15.52</v>
      </c>
    </row>
    <row r="46" spans="1:12">
      <c r="A46">
        <v>10045</v>
      </c>
      <c r="B46" t="s">
        <v>81</v>
      </c>
      <c r="C46">
        <v>1699</v>
      </c>
      <c r="D46" t="s">
        <v>55</v>
      </c>
      <c r="E46" t="s">
        <v>30</v>
      </c>
      <c r="F46">
        <v>3</v>
      </c>
      <c r="G46">
        <v>31.16</v>
      </c>
      <c r="H46">
        <v>0</v>
      </c>
      <c r="I46" t="s">
        <v>15</v>
      </c>
      <c r="J46">
        <v>6</v>
      </c>
      <c r="K46">
        <v>3.3</v>
      </c>
      <c r="L46">
        <v>93.48</v>
      </c>
    </row>
    <row r="47" spans="1:12">
      <c r="A47">
        <v>10046</v>
      </c>
      <c r="B47" t="s">
        <v>82</v>
      </c>
      <c r="C47">
        <v>1975</v>
      </c>
      <c r="D47" t="s">
        <v>34</v>
      </c>
      <c r="E47" t="s">
        <v>43</v>
      </c>
      <c r="F47">
        <v>6</v>
      </c>
      <c r="G47">
        <v>496.95</v>
      </c>
      <c r="H47">
        <v>0.15</v>
      </c>
      <c r="I47" t="s">
        <v>31</v>
      </c>
      <c r="J47">
        <v>5</v>
      </c>
      <c r="K47">
        <v>4.5999999999999996</v>
      </c>
      <c r="L47">
        <v>2534.44</v>
      </c>
    </row>
    <row r="48" spans="1:12">
      <c r="A48">
        <v>10047</v>
      </c>
      <c r="B48" t="s">
        <v>83</v>
      </c>
      <c r="C48">
        <v>1782</v>
      </c>
      <c r="D48" t="s">
        <v>34</v>
      </c>
      <c r="E48" t="s">
        <v>30</v>
      </c>
      <c r="F48">
        <v>4</v>
      </c>
      <c r="G48">
        <v>131.69</v>
      </c>
      <c r="H48">
        <v>0.13</v>
      </c>
      <c r="I48" t="s">
        <v>31</v>
      </c>
      <c r="J48">
        <v>5</v>
      </c>
      <c r="K48">
        <v>1.4</v>
      </c>
      <c r="L48">
        <v>458.28</v>
      </c>
    </row>
    <row r="49" spans="1:12">
      <c r="A49">
        <v>10048</v>
      </c>
      <c r="B49" t="s">
        <v>84</v>
      </c>
      <c r="C49">
        <v>1189</v>
      </c>
      <c r="D49" t="s">
        <v>27</v>
      </c>
      <c r="E49" t="s">
        <v>32</v>
      </c>
      <c r="F49">
        <v>1</v>
      </c>
      <c r="G49">
        <v>50.55</v>
      </c>
      <c r="H49">
        <v>0.19</v>
      </c>
      <c r="I49" t="s">
        <v>28</v>
      </c>
      <c r="J49">
        <v>8</v>
      </c>
      <c r="K49">
        <v>3.9</v>
      </c>
      <c r="L49">
        <v>40.950000000000003</v>
      </c>
    </row>
    <row r="50" spans="1:12">
      <c r="A50">
        <v>10049</v>
      </c>
      <c r="B50" t="s">
        <v>85</v>
      </c>
      <c r="C50">
        <v>1957</v>
      </c>
      <c r="D50" t="s">
        <v>34</v>
      </c>
      <c r="E50" t="s">
        <v>14</v>
      </c>
      <c r="F50">
        <v>7</v>
      </c>
      <c r="G50">
        <v>153.72999999999999</v>
      </c>
      <c r="H50">
        <v>0.28000000000000003</v>
      </c>
      <c r="I50" t="s">
        <v>28</v>
      </c>
      <c r="J50">
        <v>9</v>
      </c>
      <c r="K50">
        <v>1.6</v>
      </c>
      <c r="L50">
        <v>774.8</v>
      </c>
    </row>
    <row r="51" spans="1:12">
      <c r="A51">
        <v>10050</v>
      </c>
      <c r="B51" t="s">
        <v>86</v>
      </c>
      <c r="C51">
        <v>1686</v>
      </c>
      <c r="D51" t="s">
        <v>55</v>
      </c>
      <c r="E51" t="s">
        <v>43</v>
      </c>
      <c r="F51">
        <v>2</v>
      </c>
      <c r="G51">
        <v>264.27</v>
      </c>
      <c r="H51">
        <v>0.28999999999999998</v>
      </c>
      <c r="I51" t="s">
        <v>15</v>
      </c>
      <c r="J51">
        <v>7</v>
      </c>
      <c r="K51">
        <v>1.2</v>
      </c>
      <c r="L51">
        <v>375.26</v>
      </c>
    </row>
    <row r="52" spans="1:12">
      <c r="A52">
        <v>10051</v>
      </c>
      <c r="B52" t="s">
        <v>87</v>
      </c>
      <c r="C52">
        <v>1957</v>
      </c>
      <c r="D52" t="s">
        <v>34</v>
      </c>
      <c r="E52" t="s">
        <v>14</v>
      </c>
      <c r="F52">
        <v>7</v>
      </c>
      <c r="G52">
        <v>442.38</v>
      </c>
      <c r="H52">
        <v>0.14000000000000001</v>
      </c>
      <c r="I52" t="s">
        <v>31</v>
      </c>
      <c r="J52">
        <v>10</v>
      </c>
      <c r="K52">
        <v>1.5</v>
      </c>
      <c r="L52">
        <v>2663.13</v>
      </c>
    </row>
    <row r="53" spans="1:12">
      <c r="A53">
        <v>10052</v>
      </c>
      <c r="B53" t="s">
        <v>88</v>
      </c>
      <c r="C53">
        <v>1562</v>
      </c>
      <c r="D53" t="s">
        <v>55</v>
      </c>
      <c r="E53" t="s">
        <v>43</v>
      </c>
      <c r="F53">
        <v>1</v>
      </c>
      <c r="G53">
        <v>380.24</v>
      </c>
      <c r="H53">
        <v>0.15</v>
      </c>
      <c r="I53" t="s">
        <v>28</v>
      </c>
      <c r="J53">
        <v>8</v>
      </c>
      <c r="K53">
        <v>4.8</v>
      </c>
      <c r="L53">
        <v>323.2</v>
      </c>
    </row>
    <row r="54" spans="1:12">
      <c r="A54">
        <v>10053</v>
      </c>
      <c r="B54" t="s">
        <v>89</v>
      </c>
      <c r="C54">
        <v>1875</v>
      </c>
      <c r="D54" t="s">
        <v>13</v>
      </c>
      <c r="E54" t="s">
        <v>30</v>
      </c>
      <c r="F54">
        <v>1</v>
      </c>
      <c r="G54">
        <v>154.01</v>
      </c>
      <c r="H54">
        <v>0.05</v>
      </c>
      <c r="I54" t="s">
        <v>28</v>
      </c>
      <c r="J54">
        <v>2</v>
      </c>
      <c r="K54">
        <v>2.8</v>
      </c>
      <c r="L54">
        <v>146.31</v>
      </c>
    </row>
    <row r="55" spans="1:12">
      <c r="A55">
        <v>10054</v>
      </c>
      <c r="B55" t="s">
        <v>90</v>
      </c>
      <c r="C55">
        <v>1566</v>
      </c>
      <c r="D55" t="s">
        <v>27</v>
      </c>
      <c r="E55" t="s">
        <v>14</v>
      </c>
      <c r="F55">
        <v>1</v>
      </c>
      <c r="G55">
        <v>309.41000000000003</v>
      </c>
      <c r="H55">
        <v>0.02</v>
      </c>
      <c r="I55" t="s">
        <v>31</v>
      </c>
      <c r="J55">
        <v>2</v>
      </c>
      <c r="K55">
        <v>1.2</v>
      </c>
      <c r="L55">
        <v>303.22000000000003</v>
      </c>
    </row>
    <row r="56" spans="1:12">
      <c r="A56">
        <v>10055</v>
      </c>
      <c r="B56" t="s">
        <v>91</v>
      </c>
      <c r="C56">
        <v>1243</v>
      </c>
      <c r="D56" t="s">
        <v>13</v>
      </c>
      <c r="E56" t="s">
        <v>43</v>
      </c>
      <c r="F56">
        <v>4</v>
      </c>
      <c r="G56">
        <v>556.84</v>
      </c>
      <c r="H56">
        <v>0.22</v>
      </c>
      <c r="I56" t="s">
        <v>15</v>
      </c>
      <c r="J56">
        <v>8</v>
      </c>
      <c r="K56">
        <v>3.3</v>
      </c>
      <c r="L56">
        <v>1737.34</v>
      </c>
    </row>
    <row r="57" spans="1:12">
      <c r="A57">
        <v>10056</v>
      </c>
      <c r="B57" t="s">
        <v>92</v>
      </c>
      <c r="C57">
        <v>1831</v>
      </c>
      <c r="D57" t="s">
        <v>27</v>
      </c>
      <c r="E57" t="s">
        <v>32</v>
      </c>
      <c r="F57">
        <v>1</v>
      </c>
      <c r="G57">
        <v>491.78</v>
      </c>
      <c r="H57">
        <v>0.02</v>
      </c>
      <c r="I57" t="s">
        <v>28</v>
      </c>
      <c r="J57">
        <v>6</v>
      </c>
      <c r="K57">
        <v>1.8</v>
      </c>
      <c r="L57">
        <v>481.94</v>
      </c>
    </row>
    <row r="58" spans="1:12">
      <c r="A58">
        <v>10057</v>
      </c>
      <c r="B58" t="s">
        <v>93</v>
      </c>
      <c r="C58">
        <v>1504</v>
      </c>
      <c r="D58" t="s">
        <v>13</v>
      </c>
      <c r="E58" t="s">
        <v>30</v>
      </c>
      <c r="F58">
        <v>2</v>
      </c>
      <c r="G58">
        <v>204.07</v>
      </c>
      <c r="H58">
        <v>0.26</v>
      </c>
      <c r="I58" t="s">
        <v>31</v>
      </c>
      <c r="J58">
        <v>8</v>
      </c>
      <c r="K58">
        <v>1</v>
      </c>
      <c r="L58">
        <v>302.02</v>
      </c>
    </row>
    <row r="59" spans="1:12">
      <c r="A59">
        <v>10058</v>
      </c>
      <c r="B59" t="s">
        <v>94</v>
      </c>
      <c r="C59">
        <v>1130</v>
      </c>
      <c r="D59" t="s">
        <v>34</v>
      </c>
      <c r="E59" t="s">
        <v>14</v>
      </c>
      <c r="F59">
        <v>4</v>
      </c>
      <c r="G59">
        <v>589.62</v>
      </c>
      <c r="H59">
        <v>0.19</v>
      </c>
      <c r="I59" t="s">
        <v>31</v>
      </c>
      <c r="J59">
        <v>9</v>
      </c>
      <c r="K59">
        <v>4</v>
      </c>
      <c r="L59">
        <v>1910.37</v>
      </c>
    </row>
    <row r="60" spans="1:12">
      <c r="A60">
        <v>10059</v>
      </c>
      <c r="B60" t="s">
        <v>95</v>
      </c>
      <c r="C60">
        <v>1484</v>
      </c>
      <c r="D60" t="s">
        <v>55</v>
      </c>
      <c r="E60" t="s">
        <v>43</v>
      </c>
      <c r="F60">
        <v>7</v>
      </c>
      <c r="G60">
        <v>429.54</v>
      </c>
      <c r="H60">
        <v>7.0000000000000007E-2</v>
      </c>
      <c r="I60" t="s">
        <v>15</v>
      </c>
      <c r="J60">
        <v>9</v>
      </c>
      <c r="K60">
        <v>1.6</v>
      </c>
      <c r="L60">
        <v>2796.31</v>
      </c>
    </row>
    <row r="61" spans="1:12">
      <c r="A61">
        <v>10060</v>
      </c>
      <c r="B61" t="s">
        <v>96</v>
      </c>
      <c r="C61">
        <v>1818</v>
      </c>
      <c r="D61" t="s">
        <v>27</v>
      </c>
      <c r="E61" t="s">
        <v>14</v>
      </c>
      <c r="F61">
        <v>2</v>
      </c>
      <c r="G61">
        <v>51.53</v>
      </c>
      <c r="H61">
        <v>0.19</v>
      </c>
      <c r="I61" t="s">
        <v>15</v>
      </c>
      <c r="J61">
        <v>11</v>
      </c>
      <c r="K61">
        <v>4.8</v>
      </c>
      <c r="L61">
        <v>83.48</v>
      </c>
    </row>
    <row r="62" spans="1:12">
      <c r="A62">
        <v>10061</v>
      </c>
      <c r="B62" t="s">
        <v>97</v>
      </c>
      <c r="C62">
        <v>1646</v>
      </c>
      <c r="D62" t="s">
        <v>27</v>
      </c>
      <c r="E62" t="s">
        <v>43</v>
      </c>
      <c r="F62">
        <v>5</v>
      </c>
      <c r="G62">
        <v>35.57</v>
      </c>
      <c r="H62">
        <v>0.06</v>
      </c>
      <c r="I62" t="s">
        <v>28</v>
      </c>
      <c r="J62">
        <v>6</v>
      </c>
      <c r="K62">
        <v>3.4</v>
      </c>
      <c r="L62">
        <v>167.18</v>
      </c>
    </row>
    <row r="63" spans="1:12">
      <c r="A63">
        <v>10062</v>
      </c>
      <c r="B63" t="s">
        <v>98</v>
      </c>
      <c r="C63">
        <v>1020</v>
      </c>
      <c r="D63" t="s">
        <v>27</v>
      </c>
      <c r="E63" t="s">
        <v>30</v>
      </c>
      <c r="F63">
        <v>7</v>
      </c>
      <c r="G63">
        <v>113.52</v>
      </c>
      <c r="H63">
        <v>0.15</v>
      </c>
      <c r="I63" t="s">
        <v>31</v>
      </c>
      <c r="J63">
        <v>8</v>
      </c>
      <c r="K63">
        <v>1.3</v>
      </c>
      <c r="L63">
        <v>675.44</v>
      </c>
    </row>
    <row r="64" spans="1:12">
      <c r="A64">
        <v>10063</v>
      </c>
      <c r="B64" t="s">
        <v>99</v>
      </c>
      <c r="C64">
        <v>1840</v>
      </c>
      <c r="D64" t="s">
        <v>55</v>
      </c>
      <c r="E64" t="s">
        <v>32</v>
      </c>
      <c r="F64">
        <v>1</v>
      </c>
      <c r="G64">
        <v>440.8</v>
      </c>
      <c r="H64">
        <v>0.28000000000000003</v>
      </c>
      <c r="I64" t="s">
        <v>31</v>
      </c>
      <c r="J64">
        <v>2</v>
      </c>
      <c r="K64">
        <v>1.9</v>
      </c>
      <c r="L64">
        <v>317.38</v>
      </c>
    </row>
    <row r="65" spans="1:12">
      <c r="A65">
        <v>10064</v>
      </c>
      <c r="B65" t="s">
        <v>100</v>
      </c>
      <c r="C65">
        <v>1166</v>
      </c>
      <c r="D65" t="s">
        <v>34</v>
      </c>
      <c r="E65" t="s">
        <v>30</v>
      </c>
      <c r="F65">
        <v>6</v>
      </c>
      <c r="G65">
        <v>122.49</v>
      </c>
      <c r="H65">
        <v>0.16</v>
      </c>
      <c r="I65" t="s">
        <v>31</v>
      </c>
      <c r="J65">
        <v>8</v>
      </c>
      <c r="K65">
        <v>3.4</v>
      </c>
      <c r="L65">
        <v>617.35</v>
      </c>
    </row>
    <row r="66" spans="1:12">
      <c r="A66">
        <v>10065</v>
      </c>
      <c r="B66" t="s">
        <v>101</v>
      </c>
      <c r="C66">
        <v>1273</v>
      </c>
      <c r="D66" t="s">
        <v>34</v>
      </c>
      <c r="E66" t="s">
        <v>14</v>
      </c>
      <c r="F66">
        <v>6</v>
      </c>
      <c r="G66">
        <v>314.22000000000003</v>
      </c>
      <c r="H66">
        <v>0.05</v>
      </c>
      <c r="I66" t="s">
        <v>15</v>
      </c>
      <c r="J66">
        <v>3</v>
      </c>
      <c r="K66">
        <v>2.4</v>
      </c>
      <c r="L66">
        <v>1791.05</v>
      </c>
    </row>
    <row r="67" spans="1:12">
      <c r="A67">
        <v>10066</v>
      </c>
      <c r="B67" t="s">
        <v>102</v>
      </c>
      <c r="C67">
        <v>1387</v>
      </c>
      <c r="D67" t="s">
        <v>55</v>
      </c>
      <c r="E67" t="s">
        <v>14</v>
      </c>
      <c r="F67">
        <v>4</v>
      </c>
      <c r="G67">
        <v>69.56</v>
      </c>
      <c r="H67">
        <v>0.25</v>
      </c>
      <c r="I67" t="s">
        <v>15</v>
      </c>
      <c r="J67">
        <v>1</v>
      </c>
      <c r="K67">
        <v>3.1</v>
      </c>
      <c r="L67">
        <v>208.68</v>
      </c>
    </row>
    <row r="68" spans="1:12">
      <c r="A68">
        <v>10067</v>
      </c>
      <c r="B68" t="s">
        <v>103</v>
      </c>
      <c r="C68">
        <v>1600</v>
      </c>
      <c r="D68" t="s">
        <v>55</v>
      </c>
      <c r="E68" t="s">
        <v>43</v>
      </c>
      <c r="F68">
        <v>6</v>
      </c>
      <c r="G68">
        <v>553.72</v>
      </c>
      <c r="H68">
        <v>7.0000000000000007E-2</v>
      </c>
      <c r="I68" t="s">
        <v>28</v>
      </c>
      <c r="J68">
        <v>7</v>
      </c>
      <c r="K68">
        <v>4.2</v>
      </c>
      <c r="L68">
        <v>3089.76</v>
      </c>
    </row>
    <row r="69" spans="1:12">
      <c r="A69">
        <v>10068</v>
      </c>
      <c r="B69" t="s">
        <v>104</v>
      </c>
      <c r="C69">
        <v>1315</v>
      </c>
      <c r="D69" t="s">
        <v>13</v>
      </c>
      <c r="E69" t="s">
        <v>30</v>
      </c>
      <c r="F69">
        <v>7</v>
      </c>
      <c r="G69">
        <v>216.22</v>
      </c>
      <c r="H69">
        <v>0.26</v>
      </c>
      <c r="I69" t="s">
        <v>28</v>
      </c>
      <c r="J69">
        <v>1</v>
      </c>
      <c r="K69">
        <v>4.2</v>
      </c>
      <c r="L69">
        <v>1120.02</v>
      </c>
    </row>
    <row r="70" spans="1:12">
      <c r="A70">
        <v>10069</v>
      </c>
      <c r="B70" t="s">
        <v>105</v>
      </c>
      <c r="C70">
        <v>1013</v>
      </c>
      <c r="D70" t="s">
        <v>55</v>
      </c>
      <c r="E70" t="s">
        <v>43</v>
      </c>
      <c r="F70">
        <v>4</v>
      </c>
      <c r="G70">
        <v>546.26</v>
      </c>
      <c r="H70">
        <v>0.17</v>
      </c>
      <c r="I70" t="s">
        <v>31</v>
      </c>
      <c r="J70">
        <v>11</v>
      </c>
      <c r="K70">
        <v>3.8</v>
      </c>
      <c r="L70">
        <v>1813.58</v>
      </c>
    </row>
    <row r="71" spans="1:12">
      <c r="A71">
        <v>10070</v>
      </c>
      <c r="B71" t="s">
        <v>106</v>
      </c>
      <c r="C71">
        <v>1241</v>
      </c>
      <c r="D71" t="s">
        <v>13</v>
      </c>
      <c r="E71" t="s">
        <v>30</v>
      </c>
      <c r="F71">
        <v>7</v>
      </c>
      <c r="G71">
        <v>567.75</v>
      </c>
      <c r="H71">
        <v>0.16</v>
      </c>
      <c r="I71" t="s">
        <v>28</v>
      </c>
      <c r="J71">
        <v>1</v>
      </c>
      <c r="K71">
        <v>4.5</v>
      </c>
      <c r="L71">
        <v>3338.37</v>
      </c>
    </row>
    <row r="72" spans="1:12">
      <c r="A72">
        <v>10071</v>
      </c>
      <c r="B72" t="s">
        <v>107</v>
      </c>
      <c r="C72">
        <v>1776</v>
      </c>
      <c r="D72" t="s">
        <v>55</v>
      </c>
      <c r="E72" t="s">
        <v>14</v>
      </c>
      <c r="F72">
        <v>1</v>
      </c>
      <c r="G72">
        <v>18.59</v>
      </c>
      <c r="H72">
        <v>0.3</v>
      </c>
      <c r="I72" t="s">
        <v>28</v>
      </c>
      <c r="J72">
        <v>1</v>
      </c>
      <c r="K72">
        <v>3</v>
      </c>
      <c r="L72">
        <v>13.01</v>
      </c>
    </row>
    <row r="73" spans="1:12">
      <c r="A73">
        <v>10072</v>
      </c>
      <c r="B73" t="s">
        <v>108</v>
      </c>
      <c r="C73">
        <v>1345</v>
      </c>
      <c r="D73" t="s">
        <v>34</v>
      </c>
      <c r="E73" t="s">
        <v>43</v>
      </c>
      <c r="F73">
        <v>3</v>
      </c>
      <c r="G73">
        <v>286.52</v>
      </c>
      <c r="H73">
        <v>0.25</v>
      </c>
      <c r="I73" t="s">
        <v>28</v>
      </c>
      <c r="J73">
        <v>4</v>
      </c>
      <c r="K73">
        <v>1.7</v>
      </c>
      <c r="L73">
        <v>644.66999999999996</v>
      </c>
    </row>
    <row r="74" spans="1:12">
      <c r="A74">
        <v>10073</v>
      </c>
      <c r="B74" t="s">
        <v>109</v>
      </c>
      <c r="C74">
        <v>1564</v>
      </c>
      <c r="D74" t="s">
        <v>34</v>
      </c>
      <c r="E74" t="s">
        <v>43</v>
      </c>
      <c r="F74">
        <v>3</v>
      </c>
      <c r="G74">
        <v>29.42</v>
      </c>
      <c r="H74">
        <v>0.01</v>
      </c>
      <c r="I74" t="s">
        <v>15</v>
      </c>
      <c r="J74">
        <v>4</v>
      </c>
      <c r="K74">
        <v>4.2</v>
      </c>
      <c r="L74">
        <v>87.38</v>
      </c>
    </row>
    <row r="75" spans="1:12">
      <c r="A75">
        <v>10074</v>
      </c>
      <c r="B75" t="s">
        <v>110</v>
      </c>
      <c r="C75">
        <v>1897</v>
      </c>
      <c r="D75" t="s">
        <v>55</v>
      </c>
      <c r="E75" t="s">
        <v>30</v>
      </c>
      <c r="F75">
        <v>2</v>
      </c>
      <c r="G75">
        <v>546.59</v>
      </c>
      <c r="H75">
        <v>0.1</v>
      </c>
      <c r="I75" t="s">
        <v>28</v>
      </c>
      <c r="J75">
        <v>10</v>
      </c>
      <c r="K75">
        <v>2.2999999999999998</v>
      </c>
      <c r="L75">
        <v>983.86</v>
      </c>
    </row>
    <row r="76" spans="1:12">
      <c r="A76">
        <v>10075</v>
      </c>
      <c r="B76" t="s">
        <v>111</v>
      </c>
      <c r="C76">
        <v>1339</v>
      </c>
      <c r="D76" t="s">
        <v>27</v>
      </c>
      <c r="E76" t="s">
        <v>32</v>
      </c>
      <c r="F76">
        <v>1</v>
      </c>
      <c r="G76">
        <v>318.27</v>
      </c>
      <c r="H76">
        <v>0.3</v>
      </c>
      <c r="I76" t="s">
        <v>31</v>
      </c>
      <c r="J76">
        <v>11</v>
      </c>
      <c r="K76">
        <v>3</v>
      </c>
      <c r="L76">
        <v>222.79</v>
      </c>
    </row>
    <row r="77" spans="1:12">
      <c r="A77">
        <v>10076</v>
      </c>
      <c r="B77" t="s">
        <v>112</v>
      </c>
      <c r="C77">
        <v>1091</v>
      </c>
      <c r="D77" t="s">
        <v>34</v>
      </c>
      <c r="E77" t="s">
        <v>30</v>
      </c>
      <c r="F77">
        <v>6</v>
      </c>
      <c r="G77">
        <v>58.84</v>
      </c>
      <c r="H77">
        <v>0.01</v>
      </c>
      <c r="I77" t="s">
        <v>28</v>
      </c>
      <c r="J77">
        <v>6</v>
      </c>
      <c r="K77">
        <v>4</v>
      </c>
      <c r="L77">
        <v>349.51</v>
      </c>
    </row>
    <row r="78" spans="1:12">
      <c r="A78">
        <v>10077</v>
      </c>
      <c r="B78" t="s">
        <v>113</v>
      </c>
      <c r="C78">
        <v>1366</v>
      </c>
      <c r="D78" t="s">
        <v>27</v>
      </c>
      <c r="E78" t="s">
        <v>32</v>
      </c>
      <c r="F78">
        <v>1</v>
      </c>
      <c r="G78">
        <v>79.510000000000005</v>
      </c>
      <c r="H78">
        <v>0.19</v>
      </c>
      <c r="I78" t="s">
        <v>28</v>
      </c>
      <c r="J78">
        <v>10</v>
      </c>
      <c r="K78">
        <v>2.6</v>
      </c>
      <c r="L78">
        <v>64.400000000000006</v>
      </c>
    </row>
    <row r="79" spans="1:12">
      <c r="A79">
        <v>10078</v>
      </c>
      <c r="B79" t="s">
        <v>114</v>
      </c>
      <c r="C79">
        <v>1955</v>
      </c>
      <c r="D79" t="s">
        <v>13</v>
      </c>
      <c r="E79" t="s">
        <v>30</v>
      </c>
      <c r="F79">
        <v>5</v>
      </c>
      <c r="G79">
        <v>239.35</v>
      </c>
      <c r="H79">
        <v>0.25</v>
      </c>
      <c r="I79" t="s">
        <v>28</v>
      </c>
      <c r="J79">
        <v>3</v>
      </c>
      <c r="K79">
        <v>1.5</v>
      </c>
      <c r="L79">
        <v>897.56</v>
      </c>
    </row>
    <row r="80" spans="1:12">
      <c r="A80">
        <v>10079</v>
      </c>
      <c r="B80" t="s">
        <v>115</v>
      </c>
      <c r="C80">
        <v>1454</v>
      </c>
      <c r="D80" t="s">
        <v>27</v>
      </c>
      <c r="E80" t="s">
        <v>14</v>
      </c>
      <c r="F80">
        <v>3</v>
      </c>
      <c r="G80">
        <v>565.04</v>
      </c>
      <c r="H80">
        <v>0.22</v>
      </c>
      <c r="I80" t="s">
        <v>28</v>
      </c>
      <c r="J80">
        <v>10</v>
      </c>
      <c r="K80">
        <v>3.7</v>
      </c>
      <c r="L80">
        <v>1322.19</v>
      </c>
    </row>
    <row r="81" spans="1:12">
      <c r="A81">
        <v>10080</v>
      </c>
      <c r="B81" t="s">
        <v>116</v>
      </c>
      <c r="C81">
        <v>1427</v>
      </c>
      <c r="D81" t="s">
        <v>27</v>
      </c>
      <c r="E81" t="s">
        <v>43</v>
      </c>
      <c r="F81">
        <v>6</v>
      </c>
      <c r="G81">
        <v>420.35</v>
      </c>
      <c r="H81">
        <v>0.27</v>
      </c>
      <c r="I81" t="s">
        <v>15</v>
      </c>
      <c r="J81">
        <v>6</v>
      </c>
      <c r="K81">
        <v>4.3</v>
      </c>
      <c r="L81">
        <v>1841.13</v>
      </c>
    </row>
    <row r="82" spans="1:12">
      <c r="A82">
        <v>10081</v>
      </c>
      <c r="B82" t="s">
        <v>117</v>
      </c>
      <c r="C82">
        <v>1508</v>
      </c>
      <c r="D82" t="s">
        <v>27</v>
      </c>
      <c r="E82" t="s">
        <v>30</v>
      </c>
      <c r="F82">
        <v>7</v>
      </c>
      <c r="G82">
        <v>522.55999999999995</v>
      </c>
      <c r="H82">
        <v>0.25</v>
      </c>
      <c r="I82" t="s">
        <v>15</v>
      </c>
      <c r="J82">
        <v>7</v>
      </c>
      <c r="K82">
        <v>1.1000000000000001</v>
      </c>
      <c r="L82">
        <v>2743.44</v>
      </c>
    </row>
    <row r="83" spans="1:12">
      <c r="A83">
        <v>10082</v>
      </c>
      <c r="B83" t="s">
        <v>118</v>
      </c>
      <c r="C83">
        <v>1775</v>
      </c>
      <c r="D83" t="s">
        <v>34</v>
      </c>
      <c r="E83" t="s">
        <v>14</v>
      </c>
      <c r="F83">
        <v>7</v>
      </c>
      <c r="G83">
        <v>229.38</v>
      </c>
      <c r="H83">
        <v>0.24</v>
      </c>
      <c r="I83" t="s">
        <v>31</v>
      </c>
      <c r="J83">
        <v>11</v>
      </c>
      <c r="K83">
        <v>3.3</v>
      </c>
      <c r="L83">
        <v>1220.3</v>
      </c>
    </row>
    <row r="84" spans="1:12">
      <c r="A84">
        <v>10083</v>
      </c>
      <c r="B84" t="s">
        <v>119</v>
      </c>
      <c r="C84">
        <v>1942</v>
      </c>
      <c r="D84" t="s">
        <v>27</v>
      </c>
      <c r="E84" t="s">
        <v>30</v>
      </c>
      <c r="F84">
        <v>3</v>
      </c>
      <c r="G84">
        <v>40.28</v>
      </c>
      <c r="H84">
        <v>0.28999999999999998</v>
      </c>
      <c r="I84" t="s">
        <v>28</v>
      </c>
      <c r="J84">
        <v>1</v>
      </c>
      <c r="K84">
        <v>2.9</v>
      </c>
      <c r="L84">
        <v>85.8</v>
      </c>
    </row>
    <row r="85" spans="1:12">
      <c r="A85">
        <v>10084</v>
      </c>
      <c r="B85" t="s">
        <v>120</v>
      </c>
      <c r="C85">
        <v>1034</v>
      </c>
      <c r="D85" t="s">
        <v>27</v>
      </c>
      <c r="E85" t="s">
        <v>43</v>
      </c>
      <c r="F85">
        <v>1</v>
      </c>
      <c r="G85">
        <v>584.98</v>
      </c>
      <c r="H85">
        <v>0.23</v>
      </c>
      <c r="I85" t="s">
        <v>31</v>
      </c>
      <c r="J85">
        <v>6</v>
      </c>
      <c r="K85">
        <v>2</v>
      </c>
      <c r="L85">
        <v>450.43</v>
      </c>
    </row>
    <row r="86" spans="1:12">
      <c r="A86">
        <v>10085</v>
      </c>
      <c r="B86" t="s">
        <v>121</v>
      </c>
      <c r="C86">
        <v>1205</v>
      </c>
      <c r="D86" t="s">
        <v>34</v>
      </c>
      <c r="E86" t="s">
        <v>30</v>
      </c>
      <c r="F86">
        <v>6</v>
      </c>
      <c r="G86">
        <v>25.05</v>
      </c>
      <c r="H86">
        <v>0.14000000000000001</v>
      </c>
      <c r="I86" t="s">
        <v>28</v>
      </c>
      <c r="J86">
        <v>10</v>
      </c>
      <c r="K86">
        <v>1.6</v>
      </c>
      <c r="L86">
        <v>129.26</v>
      </c>
    </row>
    <row r="87" spans="1:12">
      <c r="A87">
        <v>10086</v>
      </c>
      <c r="B87" t="s">
        <v>122</v>
      </c>
      <c r="C87">
        <v>1080</v>
      </c>
      <c r="D87" t="s">
        <v>55</v>
      </c>
      <c r="E87" t="s">
        <v>32</v>
      </c>
      <c r="F87">
        <v>2</v>
      </c>
      <c r="G87">
        <v>569.38</v>
      </c>
      <c r="H87">
        <v>0.17</v>
      </c>
      <c r="I87" t="s">
        <v>28</v>
      </c>
      <c r="J87">
        <v>1</v>
      </c>
      <c r="K87">
        <v>1.8</v>
      </c>
      <c r="L87">
        <v>945.17</v>
      </c>
    </row>
    <row r="88" spans="1:12">
      <c r="A88">
        <v>10087</v>
      </c>
      <c r="B88" t="s">
        <v>123</v>
      </c>
      <c r="C88">
        <v>1931</v>
      </c>
      <c r="D88" t="s">
        <v>27</v>
      </c>
      <c r="E88" t="s">
        <v>43</v>
      </c>
      <c r="F88">
        <v>7</v>
      </c>
      <c r="G88">
        <v>230.68</v>
      </c>
      <c r="H88">
        <v>0.25</v>
      </c>
      <c r="I88" t="s">
        <v>31</v>
      </c>
      <c r="J88">
        <v>7</v>
      </c>
      <c r="K88">
        <v>3.9</v>
      </c>
      <c r="L88">
        <v>1211.07</v>
      </c>
    </row>
    <row r="89" spans="1:12">
      <c r="A89">
        <v>10088</v>
      </c>
      <c r="B89" t="s">
        <v>124</v>
      </c>
      <c r="C89">
        <v>1561</v>
      </c>
      <c r="D89" t="s">
        <v>55</v>
      </c>
      <c r="E89" t="s">
        <v>32</v>
      </c>
      <c r="F89">
        <v>1</v>
      </c>
      <c r="G89">
        <v>20.9</v>
      </c>
      <c r="H89">
        <v>0.31</v>
      </c>
      <c r="I89" t="s">
        <v>31</v>
      </c>
      <c r="J89">
        <v>10</v>
      </c>
      <c r="K89">
        <v>3.1</v>
      </c>
      <c r="L89">
        <v>14.42</v>
      </c>
    </row>
    <row r="90" spans="1:12">
      <c r="A90">
        <v>10089</v>
      </c>
      <c r="B90" t="s">
        <v>125</v>
      </c>
      <c r="C90">
        <v>1871</v>
      </c>
      <c r="D90" t="s">
        <v>13</v>
      </c>
      <c r="E90" t="s">
        <v>14</v>
      </c>
      <c r="F90">
        <v>2</v>
      </c>
      <c r="G90">
        <v>418.16</v>
      </c>
      <c r="H90">
        <v>0.1</v>
      </c>
      <c r="I90" t="s">
        <v>28</v>
      </c>
      <c r="J90">
        <v>5</v>
      </c>
      <c r="K90">
        <v>4.9000000000000004</v>
      </c>
      <c r="L90">
        <v>752.69</v>
      </c>
    </row>
    <row r="91" spans="1:12">
      <c r="A91">
        <v>10090</v>
      </c>
      <c r="B91" t="s">
        <v>126</v>
      </c>
      <c r="C91">
        <v>1387</v>
      </c>
      <c r="D91" t="s">
        <v>34</v>
      </c>
      <c r="E91" t="s">
        <v>14</v>
      </c>
      <c r="F91">
        <v>6</v>
      </c>
      <c r="G91">
        <v>588.62</v>
      </c>
      <c r="H91">
        <v>0.12</v>
      </c>
      <c r="I91" t="s">
        <v>28</v>
      </c>
      <c r="J91">
        <v>10</v>
      </c>
      <c r="K91">
        <v>2</v>
      </c>
      <c r="L91">
        <v>3107.91</v>
      </c>
    </row>
    <row r="92" spans="1:12">
      <c r="A92">
        <v>10091</v>
      </c>
      <c r="B92" t="s">
        <v>127</v>
      </c>
      <c r="C92">
        <v>1001</v>
      </c>
      <c r="D92" t="s">
        <v>55</v>
      </c>
      <c r="E92" t="s">
        <v>30</v>
      </c>
      <c r="F92">
        <v>3</v>
      </c>
      <c r="G92">
        <v>579.89</v>
      </c>
      <c r="H92">
        <v>0.33</v>
      </c>
      <c r="I92" t="s">
        <v>15</v>
      </c>
      <c r="J92">
        <v>4</v>
      </c>
      <c r="K92">
        <v>4.8</v>
      </c>
      <c r="L92">
        <v>1165.58</v>
      </c>
    </row>
    <row r="93" spans="1:12">
      <c r="A93">
        <v>10092</v>
      </c>
      <c r="B93" t="s">
        <v>128</v>
      </c>
      <c r="C93">
        <v>1389</v>
      </c>
      <c r="D93" t="s">
        <v>27</v>
      </c>
      <c r="E93" t="s">
        <v>32</v>
      </c>
      <c r="F93">
        <v>5</v>
      </c>
      <c r="G93">
        <v>109.15</v>
      </c>
      <c r="H93">
        <v>0.2</v>
      </c>
      <c r="I93" t="s">
        <v>28</v>
      </c>
      <c r="J93">
        <v>1</v>
      </c>
      <c r="K93">
        <v>3.1</v>
      </c>
      <c r="L93">
        <v>436.6</v>
      </c>
    </row>
    <row r="94" spans="1:12">
      <c r="A94">
        <v>10093</v>
      </c>
      <c r="B94" t="s">
        <v>129</v>
      </c>
      <c r="C94">
        <v>1565</v>
      </c>
      <c r="D94" t="s">
        <v>13</v>
      </c>
      <c r="E94" t="s">
        <v>32</v>
      </c>
      <c r="F94">
        <v>4</v>
      </c>
      <c r="G94">
        <v>121.03</v>
      </c>
      <c r="H94">
        <v>0.06</v>
      </c>
      <c r="I94" t="s">
        <v>15</v>
      </c>
      <c r="J94">
        <v>9</v>
      </c>
      <c r="K94">
        <v>1.6</v>
      </c>
      <c r="L94">
        <v>455.07</v>
      </c>
    </row>
    <row r="95" spans="1:12">
      <c r="A95">
        <v>10094</v>
      </c>
      <c r="B95" t="s">
        <v>130</v>
      </c>
      <c r="C95">
        <v>1105</v>
      </c>
      <c r="D95" t="s">
        <v>34</v>
      </c>
      <c r="E95" t="s">
        <v>43</v>
      </c>
      <c r="F95">
        <v>3</v>
      </c>
      <c r="G95">
        <v>345.84</v>
      </c>
      <c r="H95">
        <v>0.23</v>
      </c>
      <c r="I95" t="s">
        <v>15</v>
      </c>
      <c r="J95">
        <v>7</v>
      </c>
      <c r="K95">
        <v>1.6</v>
      </c>
      <c r="L95">
        <v>798.89</v>
      </c>
    </row>
    <row r="96" spans="1:12">
      <c r="A96">
        <v>10095</v>
      </c>
      <c r="B96" t="s">
        <v>131</v>
      </c>
      <c r="C96">
        <v>1771</v>
      </c>
      <c r="D96" t="s">
        <v>55</v>
      </c>
      <c r="E96" t="s">
        <v>32</v>
      </c>
      <c r="F96">
        <v>2</v>
      </c>
      <c r="G96">
        <v>387.82</v>
      </c>
      <c r="H96">
        <v>0.35</v>
      </c>
      <c r="I96" t="s">
        <v>31</v>
      </c>
      <c r="J96">
        <v>2</v>
      </c>
      <c r="K96">
        <v>3.4</v>
      </c>
      <c r="L96">
        <v>504.17</v>
      </c>
    </row>
    <row r="97" spans="1:12">
      <c r="A97">
        <v>10096</v>
      </c>
      <c r="B97" t="s">
        <v>132</v>
      </c>
      <c r="C97">
        <v>1821</v>
      </c>
      <c r="D97" t="s">
        <v>34</v>
      </c>
      <c r="E97" t="s">
        <v>32</v>
      </c>
      <c r="F97">
        <v>1</v>
      </c>
      <c r="G97">
        <v>447.56</v>
      </c>
      <c r="H97">
        <v>0.28999999999999998</v>
      </c>
      <c r="I97" t="s">
        <v>28</v>
      </c>
      <c r="J97">
        <v>4</v>
      </c>
      <c r="K97">
        <v>4.3</v>
      </c>
      <c r="L97">
        <v>317.77</v>
      </c>
    </row>
    <row r="98" spans="1:12">
      <c r="A98">
        <v>10097</v>
      </c>
      <c r="B98" t="s">
        <v>133</v>
      </c>
      <c r="C98">
        <v>1476</v>
      </c>
      <c r="D98" t="s">
        <v>34</v>
      </c>
      <c r="E98" t="s">
        <v>43</v>
      </c>
      <c r="F98">
        <v>7</v>
      </c>
      <c r="G98">
        <v>120.91</v>
      </c>
      <c r="H98">
        <v>0.26</v>
      </c>
      <c r="I98" t="s">
        <v>31</v>
      </c>
      <c r="J98">
        <v>4</v>
      </c>
      <c r="K98">
        <v>4</v>
      </c>
      <c r="L98">
        <v>626.30999999999995</v>
      </c>
    </row>
    <row r="99" spans="1:12">
      <c r="A99">
        <v>10098</v>
      </c>
      <c r="B99" t="s">
        <v>134</v>
      </c>
      <c r="C99">
        <v>1702</v>
      </c>
      <c r="D99" t="s">
        <v>34</v>
      </c>
      <c r="E99" t="s">
        <v>43</v>
      </c>
      <c r="F99">
        <v>6</v>
      </c>
      <c r="G99">
        <v>576.02</v>
      </c>
      <c r="H99">
        <v>7.0000000000000007E-2</v>
      </c>
      <c r="I99" t="s">
        <v>28</v>
      </c>
      <c r="J99">
        <v>8</v>
      </c>
      <c r="K99">
        <v>3.6</v>
      </c>
      <c r="L99">
        <v>3214.19</v>
      </c>
    </row>
    <row r="100" spans="1:12">
      <c r="A100">
        <v>10099</v>
      </c>
      <c r="B100" t="s">
        <v>135</v>
      </c>
      <c r="C100">
        <v>1401</v>
      </c>
      <c r="D100" t="s">
        <v>55</v>
      </c>
      <c r="E100" t="s">
        <v>32</v>
      </c>
      <c r="F100">
        <v>3</v>
      </c>
      <c r="G100">
        <v>388.66</v>
      </c>
      <c r="H100">
        <v>0.31</v>
      </c>
      <c r="I100" t="s">
        <v>28</v>
      </c>
      <c r="J100">
        <v>2</v>
      </c>
      <c r="K100">
        <v>1.7</v>
      </c>
      <c r="L100">
        <v>804.53</v>
      </c>
    </row>
    <row r="101" spans="1:12">
      <c r="A101">
        <v>10100</v>
      </c>
      <c r="B101" t="s">
        <v>136</v>
      </c>
      <c r="C101">
        <v>1729</v>
      </c>
      <c r="D101" t="s">
        <v>55</v>
      </c>
      <c r="E101" t="s">
        <v>30</v>
      </c>
      <c r="F101">
        <v>7</v>
      </c>
      <c r="G101">
        <v>510.52</v>
      </c>
      <c r="H101">
        <v>0.18</v>
      </c>
      <c r="I101" t="s">
        <v>31</v>
      </c>
      <c r="J101">
        <v>11</v>
      </c>
      <c r="K101">
        <v>1.4</v>
      </c>
      <c r="L101">
        <v>2930.38</v>
      </c>
    </row>
    <row r="102" spans="1:12">
      <c r="A102">
        <v>10101</v>
      </c>
      <c r="B102" t="s">
        <v>137</v>
      </c>
      <c r="C102">
        <v>1555</v>
      </c>
      <c r="D102" t="s">
        <v>34</v>
      </c>
      <c r="E102" t="s">
        <v>43</v>
      </c>
      <c r="F102">
        <v>7</v>
      </c>
      <c r="G102">
        <v>330.94</v>
      </c>
      <c r="H102">
        <v>0.31</v>
      </c>
      <c r="I102" t="s">
        <v>28</v>
      </c>
      <c r="J102">
        <v>5</v>
      </c>
      <c r="K102">
        <v>1</v>
      </c>
      <c r="L102">
        <v>1598.44</v>
      </c>
    </row>
    <row r="103" spans="1:12">
      <c r="A103">
        <v>10102</v>
      </c>
      <c r="B103" t="s">
        <v>138</v>
      </c>
      <c r="C103">
        <v>1161</v>
      </c>
      <c r="D103" t="s">
        <v>27</v>
      </c>
      <c r="E103" t="s">
        <v>43</v>
      </c>
      <c r="F103">
        <v>5</v>
      </c>
      <c r="G103">
        <v>257.35000000000002</v>
      </c>
      <c r="H103">
        <v>0.12</v>
      </c>
      <c r="I103" t="s">
        <v>28</v>
      </c>
      <c r="J103">
        <v>10</v>
      </c>
      <c r="K103">
        <v>1.4</v>
      </c>
      <c r="L103">
        <v>1132.3399999999999</v>
      </c>
    </row>
    <row r="104" spans="1:12">
      <c r="A104">
        <v>10103</v>
      </c>
      <c r="B104" t="s">
        <v>139</v>
      </c>
      <c r="C104">
        <v>1201</v>
      </c>
      <c r="D104" t="s">
        <v>27</v>
      </c>
      <c r="E104" t="s">
        <v>32</v>
      </c>
      <c r="F104">
        <v>6</v>
      </c>
      <c r="G104">
        <v>586.65</v>
      </c>
      <c r="H104">
        <v>0.02</v>
      </c>
      <c r="I104" t="s">
        <v>31</v>
      </c>
      <c r="J104">
        <v>8</v>
      </c>
      <c r="K104">
        <v>4.0999999999999996</v>
      </c>
      <c r="L104">
        <v>3449.5</v>
      </c>
    </row>
    <row r="105" spans="1:12">
      <c r="A105">
        <v>10104</v>
      </c>
      <c r="B105" t="s">
        <v>140</v>
      </c>
      <c r="C105">
        <v>1957</v>
      </c>
      <c r="D105" t="s">
        <v>55</v>
      </c>
      <c r="E105" t="s">
        <v>32</v>
      </c>
      <c r="F105">
        <v>2</v>
      </c>
      <c r="G105">
        <v>355.54</v>
      </c>
      <c r="H105">
        <v>0.17</v>
      </c>
      <c r="I105" t="s">
        <v>31</v>
      </c>
      <c r="J105">
        <v>6</v>
      </c>
      <c r="K105">
        <v>4.5999999999999996</v>
      </c>
      <c r="L105">
        <v>590.20000000000005</v>
      </c>
    </row>
    <row r="106" spans="1:12">
      <c r="A106">
        <v>10105</v>
      </c>
      <c r="B106" t="s">
        <v>141</v>
      </c>
      <c r="C106">
        <v>1995</v>
      </c>
      <c r="D106" t="s">
        <v>34</v>
      </c>
      <c r="E106" t="s">
        <v>43</v>
      </c>
      <c r="F106">
        <v>6</v>
      </c>
      <c r="G106">
        <v>522.12</v>
      </c>
      <c r="H106">
        <v>0.09</v>
      </c>
      <c r="I106" t="s">
        <v>28</v>
      </c>
      <c r="J106">
        <v>4</v>
      </c>
      <c r="K106">
        <v>2</v>
      </c>
      <c r="L106">
        <v>2850.78</v>
      </c>
    </row>
    <row r="107" spans="1:12">
      <c r="A107">
        <v>10106</v>
      </c>
      <c r="B107" t="s">
        <v>142</v>
      </c>
      <c r="C107">
        <v>1269</v>
      </c>
      <c r="D107" t="s">
        <v>13</v>
      </c>
      <c r="E107" t="s">
        <v>32</v>
      </c>
      <c r="F107">
        <v>6</v>
      </c>
      <c r="G107">
        <v>572.67999999999995</v>
      </c>
      <c r="H107">
        <v>0.25</v>
      </c>
      <c r="I107" t="s">
        <v>28</v>
      </c>
      <c r="J107">
        <v>5</v>
      </c>
      <c r="K107">
        <v>4.2</v>
      </c>
      <c r="L107">
        <v>2577.06</v>
      </c>
    </row>
    <row r="108" spans="1:12">
      <c r="A108">
        <v>10107</v>
      </c>
      <c r="B108" t="s">
        <v>143</v>
      </c>
      <c r="C108">
        <v>1862</v>
      </c>
      <c r="D108" t="s">
        <v>34</v>
      </c>
      <c r="E108" t="s">
        <v>43</v>
      </c>
      <c r="F108">
        <v>1</v>
      </c>
      <c r="G108">
        <v>410.08</v>
      </c>
      <c r="H108">
        <v>0.33</v>
      </c>
      <c r="I108" t="s">
        <v>28</v>
      </c>
      <c r="J108">
        <v>2</v>
      </c>
      <c r="K108">
        <v>1.8</v>
      </c>
      <c r="L108">
        <v>274.75</v>
      </c>
    </row>
    <row r="109" spans="1:12">
      <c r="A109">
        <v>10108</v>
      </c>
      <c r="B109" t="s">
        <v>144</v>
      </c>
      <c r="C109">
        <v>1815</v>
      </c>
      <c r="D109" t="s">
        <v>27</v>
      </c>
      <c r="E109" t="s">
        <v>30</v>
      </c>
      <c r="F109">
        <v>4</v>
      </c>
      <c r="G109">
        <v>336.13</v>
      </c>
      <c r="H109">
        <v>0.24</v>
      </c>
      <c r="I109" t="s">
        <v>28</v>
      </c>
      <c r="J109">
        <v>5</v>
      </c>
      <c r="K109">
        <v>2</v>
      </c>
      <c r="L109">
        <v>1021.84</v>
      </c>
    </row>
    <row r="110" spans="1:12">
      <c r="A110">
        <v>10109</v>
      </c>
      <c r="B110" t="s">
        <v>145</v>
      </c>
      <c r="C110">
        <v>1270</v>
      </c>
      <c r="D110" t="s">
        <v>34</v>
      </c>
      <c r="E110" t="s">
        <v>30</v>
      </c>
      <c r="F110">
        <v>7</v>
      </c>
      <c r="G110">
        <v>17.05</v>
      </c>
      <c r="H110">
        <v>0.31</v>
      </c>
      <c r="I110" t="s">
        <v>31</v>
      </c>
      <c r="J110">
        <v>3</v>
      </c>
      <c r="K110">
        <v>1.9</v>
      </c>
      <c r="L110">
        <v>82.35</v>
      </c>
    </row>
    <row r="111" spans="1:12">
      <c r="A111">
        <v>10110</v>
      </c>
      <c r="B111" t="s">
        <v>146</v>
      </c>
      <c r="C111">
        <v>1455</v>
      </c>
      <c r="D111" t="s">
        <v>34</v>
      </c>
      <c r="E111" t="s">
        <v>43</v>
      </c>
      <c r="F111">
        <v>2</v>
      </c>
      <c r="G111">
        <v>38.409999999999997</v>
      </c>
      <c r="H111">
        <v>0.16</v>
      </c>
      <c r="I111" t="s">
        <v>31</v>
      </c>
      <c r="J111">
        <v>3</v>
      </c>
      <c r="K111">
        <v>1.2</v>
      </c>
      <c r="L111">
        <v>64.53</v>
      </c>
    </row>
    <row r="112" spans="1:12">
      <c r="A112">
        <v>10111</v>
      </c>
      <c r="B112" t="s">
        <v>147</v>
      </c>
      <c r="C112">
        <v>1461</v>
      </c>
      <c r="D112" t="s">
        <v>27</v>
      </c>
      <c r="E112" t="s">
        <v>43</v>
      </c>
      <c r="F112">
        <v>1</v>
      </c>
      <c r="G112">
        <v>132.5</v>
      </c>
      <c r="H112">
        <v>0.27</v>
      </c>
      <c r="I112" t="s">
        <v>31</v>
      </c>
      <c r="J112">
        <v>7</v>
      </c>
      <c r="K112">
        <v>1.8</v>
      </c>
      <c r="L112">
        <v>96.72</v>
      </c>
    </row>
    <row r="113" spans="1:12">
      <c r="A113">
        <v>10112</v>
      </c>
      <c r="B113" t="s">
        <v>148</v>
      </c>
      <c r="C113">
        <v>1726</v>
      </c>
      <c r="D113" t="s">
        <v>34</v>
      </c>
      <c r="E113" t="s">
        <v>14</v>
      </c>
      <c r="F113">
        <v>7</v>
      </c>
      <c r="G113">
        <v>123.81</v>
      </c>
      <c r="H113">
        <v>0.3</v>
      </c>
      <c r="I113" t="s">
        <v>28</v>
      </c>
      <c r="J113">
        <v>3</v>
      </c>
      <c r="K113">
        <v>2.5</v>
      </c>
      <c r="L113">
        <v>606.66999999999996</v>
      </c>
    </row>
    <row r="114" spans="1:12">
      <c r="A114">
        <v>10113</v>
      </c>
      <c r="B114" t="s">
        <v>149</v>
      </c>
      <c r="C114">
        <v>1251</v>
      </c>
      <c r="D114" t="s">
        <v>55</v>
      </c>
      <c r="E114" t="s">
        <v>14</v>
      </c>
      <c r="F114">
        <v>4</v>
      </c>
      <c r="G114">
        <v>164.03</v>
      </c>
      <c r="H114">
        <v>0.25</v>
      </c>
      <c r="I114" t="s">
        <v>28</v>
      </c>
      <c r="J114">
        <v>4</v>
      </c>
      <c r="K114">
        <v>2.6</v>
      </c>
      <c r="L114">
        <v>492.09</v>
      </c>
    </row>
    <row r="115" spans="1:12">
      <c r="A115">
        <v>10114</v>
      </c>
      <c r="B115" t="s">
        <v>150</v>
      </c>
      <c r="C115">
        <v>1701</v>
      </c>
      <c r="D115" t="s">
        <v>34</v>
      </c>
      <c r="E115" t="s">
        <v>32</v>
      </c>
      <c r="F115">
        <v>1</v>
      </c>
      <c r="G115">
        <v>193.39</v>
      </c>
      <c r="H115">
        <v>0.18</v>
      </c>
      <c r="I115" t="s">
        <v>28</v>
      </c>
      <c r="J115">
        <v>7</v>
      </c>
      <c r="K115">
        <v>2.2000000000000002</v>
      </c>
      <c r="L115">
        <v>158.58000000000001</v>
      </c>
    </row>
    <row r="116" spans="1:12">
      <c r="A116">
        <v>10115</v>
      </c>
      <c r="B116" t="s">
        <v>151</v>
      </c>
      <c r="C116">
        <v>1295</v>
      </c>
      <c r="D116" t="s">
        <v>27</v>
      </c>
      <c r="E116" t="s">
        <v>32</v>
      </c>
      <c r="F116">
        <v>4</v>
      </c>
      <c r="G116">
        <v>225.64</v>
      </c>
      <c r="H116">
        <v>0.22</v>
      </c>
      <c r="I116" t="s">
        <v>28</v>
      </c>
      <c r="J116">
        <v>3</v>
      </c>
      <c r="K116">
        <v>3.1</v>
      </c>
      <c r="L116">
        <v>704</v>
      </c>
    </row>
    <row r="117" spans="1:12">
      <c r="A117">
        <v>10116</v>
      </c>
      <c r="B117" t="s">
        <v>152</v>
      </c>
      <c r="C117">
        <v>1724</v>
      </c>
      <c r="D117" t="s">
        <v>34</v>
      </c>
      <c r="E117" t="s">
        <v>43</v>
      </c>
      <c r="F117">
        <v>4</v>
      </c>
      <c r="G117">
        <v>261.01</v>
      </c>
      <c r="H117">
        <v>0.25</v>
      </c>
      <c r="I117" t="s">
        <v>28</v>
      </c>
      <c r="J117">
        <v>10</v>
      </c>
      <c r="K117">
        <v>2.5</v>
      </c>
      <c r="L117">
        <v>783.03</v>
      </c>
    </row>
    <row r="118" spans="1:12">
      <c r="A118">
        <v>10117</v>
      </c>
      <c r="B118" t="s">
        <v>153</v>
      </c>
      <c r="C118">
        <v>1719</v>
      </c>
      <c r="D118" t="s">
        <v>34</v>
      </c>
      <c r="E118" t="s">
        <v>43</v>
      </c>
      <c r="F118">
        <v>4</v>
      </c>
      <c r="G118">
        <v>72.84</v>
      </c>
      <c r="H118">
        <v>0.09</v>
      </c>
      <c r="I118" t="s">
        <v>28</v>
      </c>
      <c r="J118">
        <v>10</v>
      </c>
      <c r="K118">
        <v>4.9000000000000004</v>
      </c>
      <c r="L118">
        <v>265.14</v>
      </c>
    </row>
    <row r="119" spans="1:12">
      <c r="A119">
        <v>10118</v>
      </c>
      <c r="B119" t="s">
        <v>154</v>
      </c>
      <c r="C119">
        <v>1748</v>
      </c>
      <c r="D119" t="s">
        <v>34</v>
      </c>
      <c r="E119" t="s">
        <v>14</v>
      </c>
      <c r="F119">
        <v>1</v>
      </c>
      <c r="G119">
        <v>39.78</v>
      </c>
      <c r="H119">
        <v>0.28000000000000003</v>
      </c>
      <c r="I119" t="s">
        <v>28</v>
      </c>
      <c r="J119">
        <v>2</v>
      </c>
      <c r="K119">
        <v>4.2</v>
      </c>
      <c r="L119">
        <v>28.64</v>
      </c>
    </row>
    <row r="120" spans="1:12">
      <c r="A120">
        <v>10119</v>
      </c>
      <c r="B120" t="s">
        <v>155</v>
      </c>
      <c r="C120">
        <v>1337</v>
      </c>
      <c r="D120" t="s">
        <v>27</v>
      </c>
      <c r="E120" t="s">
        <v>14</v>
      </c>
      <c r="F120">
        <v>6</v>
      </c>
      <c r="G120">
        <v>409.26</v>
      </c>
      <c r="H120">
        <v>0.33</v>
      </c>
      <c r="I120" t="s">
        <v>31</v>
      </c>
      <c r="J120">
        <v>10</v>
      </c>
      <c r="K120">
        <v>4.7</v>
      </c>
      <c r="L120">
        <v>1645.23</v>
      </c>
    </row>
    <row r="121" spans="1:12">
      <c r="A121">
        <v>10120</v>
      </c>
      <c r="B121" t="s">
        <v>156</v>
      </c>
      <c r="C121">
        <v>1878</v>
      </c>
      <c r="D121" t="s">
        <v>27</v>
      </c>
      <c r="E121" t="s">
        <v>43</v>
      </c>
      <c r="F121">
        <v>4</v>
      </c>
      <c r="G121">
        <v>329.34</v>
      </c>
      <c r="H121">
        <v>0.16</v>
      </c>
      <c r="I121" t="s">
        <v>31</v>
      </c>
      <c r="J121">
        <v>7</v>
      </c>
      <c r="K121">
        <v>3.2</v>
      </c>
      <c r="L121">
        <v>1106.58</v>
      </c>
    </row>
    <row r="122" spans="1:12">
      <c r="A122">
        <v>10121</v>
      </c>
      <c r="B122" t="s">
        <v>157</v>
      </c>
      <c r="C122">
        <v>1052</v>
      </c>
      <c r="D122" t="s">
        <v>27</v>
      </c>
      <c r="E122" t="s">
        <v>30</v>
      </c>
      <c r="F122">
        <v>6</v>
      </c>
      <c r="G122">
        <v>274.82</v>
      </c>
      <c r="H122">
        <v>0.25</v>
      </c>
      <c r="I122" t="s">
        <v>31</v>
      </c>
      <c r="J122">
        <v>6</v>
      </c>
      <c r="K122">
        <v>3.7</v>
      </c>
      <c r="L122">
        <v>1236.69</v>
      </c>
    </row>
    <row r="123" spans="1:12">
      <c r="A123">
        <v>10122</v>
      </c>
      <c r="B123" t="s">
        <v>158</v>
      </c>
      <c r="C123">
        <v>1791</v>
      </c>
      <c r="D123" t="s">
        <v>27</v>
      </c>
      <c r="E123" t="s">
        <v>30</v>
      </c>
      <c r="F123">
        <v>7</v>
      </c>
      <c r="G123">
        <v>386.15</v>
      </c>
      <c r="H123">
        <v>0.26</v>
      </c>
      <c r="I123" t="s">
        <v>28</v>
      </c>
      <c r="J123">
        <v>1</v>
      </c>
      <c r="K123">
        <v>1.7</v>
      </c>
      <c r="L123">
        <v>2000.26</v>
      </c>
    </row>
    <row r="124" spans="1:12">
      <c r="A124">
        <v>10123</v>
      </c>
      <c r="B124" t="s">
        <v>159</v>
      </c>
      <c r="C124">
        <v>1921</v>
      </c>
      <c r="D124" t="s">
        <v>27</v>
      </c>
      <c r="E124" t="s">
        <v>32</v>
      </c>
      <c r="F124">
        <v>7</v>
      </c>
      <c r="G124">
        <v>499.19</v>
      </c>
      <c r="H124">
        <v>0.23</v>
      </c>
      <c r="I124" t="s">
        <v>15</v>
      </c>
      <c r="J124">
        <v>10</v>
      </c>
      <c r="K124">
        <v>4</v>
      </c>
      <c r="L124">
        <v>2690.63</v>
      </c>
    </row>
    <row r="125" spans="1:12">
      <c r="A125">
        <v>10124</v>
      </c>
      <c r="B125" t="s">
        <v>160</v>
      </c>
      <c r="C125">
        <v>1216</v>
      </c>
      <c r="D125" t="s">
        <v>34</v>
      </c>
      <c r="E125" t="s">
        <v>43</v>
      </c>
      <c r="F125">
        <v>2</v>
      </c>
      <c r="G125">
        <v>265.2</v>
      </c>
      <c r="H125">
        <v>0.19</v>
      </c>
      <c r="I125" t="s">
        <v>15</v>
      </c>
      <c r="J125">
        <v>8</v>
      </c>
      <c r="K125">
        <v>1.9</v>
      </c>
      <c r="L125">
        <v>429.62</v>
      </c>
    </row>
    <row r="126" spans="1:12">
      <c r="A126">
        <v>10125</v>
      </c>
      <c r="B126" t="s">
        <v>161</v>
      </c>
      <c r="C126">
        <v>1763</v>
      </c>
      <c r="D126" t="s">
        <v>27</v>
      </c>
      <c r="E126" t="s">
        <v>43</v>
      </c>
      <c r="F126">
        <v>5</v>
      </c>
      <c r="G126">
        <v>390.05</v>
      </c>
      <c r="H126">
        <v>0.31</v>
      </c>
      <c r="I126" t="s">
        <v>28</v>
      </c>
      <c r="J126">
        <v>3</v>
      </c>
      <c r="K126">
        <v>1.6</v>
      </c>
      <c r="L126">
        <v>1345.67</v>
      </c>
    </row>
    <row r="127" spans="1:12">
      <c r="A127">
        <v>10126</v>
      </c>
      <c r="B127" t="s">
        <v>162</v>
      </c>
      <c r="C127">
        <v>1187</v>
      </c>
      <c r="D127" t="s">
        <v>13</v>
      </c>
      <c r="E127" t="s">
        <v>32</v>
      </c>
      <c r="F127">
        <v>6</v>
      </c>
      <c r="G127">
        <v>572.84</v>
      </c>
      <c r="H127">
        <v>0.16</v>
      </c>
      <c r="I127" t="s">
        <v>31</v>
      </c>
      <c r="J127">
        <v>11</v>
      </c>
      <c r="K127">
        <v>1.2</v>
      </c>
      <c r="L127">
        <v>2887.11</v>
      </c>
    </row>
    <row r="128" spans="1:12">
      <c r="A128">
        <v>10127</v>
      </c>
      <c r="B128" t="s">
        <v>163</v>
      </c>
      <c r="C128">
        <v>1379</v>
      </c>
      <c r="D128" t="s">
        <v>27</v>
      </c>
      <c r="E128" t="s">
        <v>14</v>
      </c>
      <c r="F128">
        <v>7</v>
      </c>
      <c r="G128">
        <v>506.18</v>
      </c>
      <c r="H128">
        <v>0.02</v>
      </c>
      <c r="I128" t="s">
        <v>15</v>
      </c>
      <c r="J128">
        <v>7</v>
      </c>
      <c r="K128">
        <v>2.9</v>
      </c>
      <c r="L128">
        <v>3472.39</v>
      </c>
    </row>
    <row r="129" spans="1:12">
      <c r="A129">
        <v>10128</v>
      </c>
      <c r="B129" t="s">
        <v>164</v>
      </c>
      <c r="C129">
        <v>1492</v>
      </c>
      <c r="D129" t="s">
        <v>55</v>
      </c>
      <c r="E129" t="s">
        <v>14</v>
      </c>
      <c r="F129">
        <v>5</v>
      </c>
      <c r="G129">
        <v>264.20999999999998</v>
      </c>
      <c r="H129">
        <v>0.3</v>
      </c>
      <c r="I129" t="s">
        <v>31</v>
      </c>
      <c r="J129">
        <v>6</v>
      </c>
      <c r="K129">
        <v>2.1</v>
      </c>
      <c r="L129">
        <v>924.73</v>
      </c>
    </row>
    <row r="130" spans="1:12">
      <c r="A130">
        <v>10129</v>
      </c>
      <c r="B130" t="s">
        <v>165</v>
      </c>
      <c r="C130">
        <v>1040</v>
      </c>
      <c r="D130" t="s">
        <v>34</v>
      </c>
      <c r="E130" t="s">
        <v>30</v>
      </c>
      <c r="F130">
        <v>4</v>
      </c>
      <c r="G130">
        <v>392.16</v>
      </c>
      <c r="H130">
        <v>0.24</v>
      </c>
      <c r="I130" t="s">
        <v>28</v>
      </c>
      <c r="J130">
        <v>10</v>
      </c>
      <c r="K130">
        <v>4.9000000000000004</v>
      </c>
      <c r="L130">
        <v>1192.17</v>
      </c>
    </row>
    <row r="131" spans="1:12">
      <c r="A131">
        <v>10130</v>
      </c>
      <c r="B131" t="s">
        <v>166</v>
      </c>
      <c r="C131">
        <v>1156</v>
      </c>
      <c r="D131" t="s">
        <v>55</v>
      </c>
      <c r="E131" t="s">
        <v>43</v>
      </c>
      <c r="F131">
        <v>5</v>
      </c>
      <c r="G131">
        <v>118.59</v>
      </c>
      <c r="H131">
        <v>0.3</v>
      </c>
      <c r="I131" t="s">
        <v>31</v>
      </c>
      <c r="J131">
        <v>6</v>
      </c>
      <c r="K131">
        <v>2</v>
      </c>
      <c r="L131">
        <v>415.06</v>
      </c>
    </row>
    <row r="132" spans="1:12">
      <c r="A132">
        <v>10131</v>
      </c>
      <c r="B132" t="s">
        <v>167</v>
      </c>
      <c r="C132">
        <v>1014</v>
      </c>
      <c r="D132" t="s">
        <v>55</v>
      </c>
      <c r="E132" t="s">
        <v>14</v>
      </c>
      <c r="F132">
        <v>5</v>
      </c>
      <c r="G132">
        <v>342.91</v>
      </c>
      <c r="H132">
        <v>0.05</v>
      </c>
      <c r="I132" t="s">
        <v>31</v>
      </c>
      <c r="J132">
        <v>8</v>
      </c>
      <c r="K132">
        <v>4.5</v>
      </c>
      <c r="L132">
        <v>1628.82</v>
      </c>
    </row>
    <row r="133" spans="1:12">
      <c r="A133">
        <v>10132</v>
      </c>
      <c r="B133" t="s">
        <v>168</v>
      </c>
      <c r="C133">
        <v>1812</v>
      </c>
      <c r="D133" t="s">
        <v>27</v>
      </c>
      <c r="E133" t="s">
        <v>30</v>
      </c>
      <c r="F133">
        <v>4</v>
      </c>
      <c r="G133">
        <v>589.08000000000004</v>
      </c>
      <c r="H133">
        <v>0.01</v>
      </c>
      <c r="I133" t="s">
        <v>28</v>
      </c>
      <c r="J133">
        <v>4</v>
      </c>
      <c r="K133">
        <v>2.2999999999999998</v>
      </c>
      <c r="L133">
        <v>2332.7600000000002</v>
      </c>
    </row>
    <row r="134" spans="1:12">
      <c r="A134">
        <v>10133</v>
      </c>
      <c r="B134" t="s">
        <v>169</v>
      </c>
      <c r="C134">
        <v>1064</v>
      </c>
      <c r="D134" t="s">
        <v>13</v>
      </c>
      <c r="E134" t="s">
        <v>30</v>
      </c>
      <c r="F134">
        <v>6</v>
      </c>
      <c r="G134">
        <v>318.20999999999998</v>
      </c>
      <c r="H134">
        <v>0.33</v>
      </c>
      <c r="I134" t="s">
        <v>15</v>
      </c>
      <c r="J134">
        <v>4</v>
      </c>
      <c r="K134">
        <v>4</v>
      </c>
      <c r="L134">
        <v>1279.2</v>
      </c>
    </row>
    <row r="135" spans="1:12">
      <c r="A135">
        <v>10134</v>
      </c>
      <c r="B135" t="s">
        <v>170</v>
      </c>
      <c r="C135">
        <v>1856</v>
      </c>
      <c r="D135" t="s">
        <v>34</v>
      </c>
      <c r="E135" t="s">
        <v>30</v>
      </c>
      <c r="F135">
        <v>4</v>
      </c>
      <c r="G135">
        <v>557.66999999999996</v>
      </c>
      <c r="H135">
        <v>0.05</v>
      </c>
      <c r="I135" t="s">
        <v>31</v>
      </c>
      <c r="J135">
        <v>3</v>
      </c>
      <c r="K135">
        <v>3.6</v>
      </c>
      <c r="L135">
        <v>2119.15</v>
      </c>
    </row>
    <row r="136" spans="1:12">
      <c r="A136">
        <v>10135</v>
      </c>
      <c r="B136" t="s">
        <v>171</v>
      </c>
      <c r="C136">
        <v>1838</v>
      </c>
      <c r="D136" t="s">
        <v>34</v>
      </c>
      <c r="E136" t="s">
        <v>14</v>
      </c>
      <c r="F136">
        <v>2</v>
      </c>
      <c r="G136">
        <v>253.29</v>
      </c>
      <c r="H136">
        <v>0.28000000000000003</v>
      </c>
      <c r="I136" t="s">
        <v>28</v>
      </c>
      <c r="J136">
        <v>1</v>
      </c>
      <c r="K136">
        <v>3.2</v>
      </c>
      <c r="L136">
        <v>364.74</v>
      </c>
    </row>
    <row r="137" spans="1:12">
      <c r="A137">
        <v>10136</v>
      </c>
      <c r="B137" t="s">
        <v>172</v>
      </c>
      <c r="C137">
        <v>1520</v>
      </c>
      <c r="D137" t="s">
        <v>55</v>
      </c>
      <c r="E137" t="s">
        <v>14</v>
      </c>
      <c r="F137">
        <v>3</v>
      </c>
      <c r="G137">
        <v>599.32000000000005</v>
      </c>
      <c r="H137">
        <v>0.28999999999999998</v>
      </c>
      <c r="I137" t="s">
        <v>31</v>
      </c>
      <c r="J137">
        <v>10</v>
      </c>
      <c r="K137">
        <v>2.7</v>
      </c>
      <c r="L137">
        <v>1276.55</v>
      </c>
    </row>
    <row r="138" spans="1:12">
      <c r="A138">
        <v>10137</v>
      </c>
      <c r="B138" t="s">
        <v>173</v>
      </c>
      <c r="C138">
        <v>1343</v>
      </c>
      <c r="D138" t="s">
        <v>55</v>
      </c>
      <c r="E138" t="s">
        <v>43</v>
      </c>
      <c r="F138">
        <v>1</v>
      </c>
      <c r="G138">
        <v>353.84</v>
      </c>
      <c r="H138">
        <v>0.25</v>
      </c>
      <c r="I138" t="s">
        <v>31</v>
      </c>
      <c r="J138">
        <v>3</v>
      </c>
      <c r="K138">
        <v>3.7</v>
      </c>
      <c r="L138">
        <v>265.38</v>
      </c>
    </row>
    <row r="139" spans="1:12">
      <c r="A139">
        <v>10138</v>
      </c>
      <c r="B139" t="s">
        <v>174</v>
      </c>
      <c r="C139">
        <v>1128</v>
      </c>
      <c r="D139" t="s">
        <v>34</v>
      </c>
      <c r="E139" t="s">
        <v>43</v>
      </c>
      <c r="F139">
        <v>4</v>
      </c>
      <c r="G139">
        <v>39.729999999999997</v>
      </c>
      <c r="H139">
        <v>0.05</v>
      </c>
      <c r="I139" t="s">
        <v>28</v>
      </c>
      <c r="J139">
        <v>1</v>
      </c>
      <c r="K139">
        <v>2.6</v>
      </c>
      <c r="L139">
        <v>150.97</v>
      </c>
    </row>
    <row r="140" spans="1:12">
      <c r="A140">
        <v>10139</v>
      </c>
      <c r="B140" t="s">
        <v>175</v>
      </c>
      <c r="C140">
        <v>1647</v>
      </c>
      <c r="D140" t="s">
        <v>34</v>
      </c>
      <c r="E140" t="s">
        <v>30</v>
      </c>
      <c r="F140">
        <v>4</v>
      </c>
      <c r="G140">
        <v>358.25</v>
      </c>
      <c r="H140">
        <v>0.23</v>
      </c>
      <c r="I140" t="s">
        <v>28</v>
      </c>
      <c r="J140">
        <v>6</v>
      </c>
      <c r="K140">
        <v>3.2</v>
      </c>
      <c r="L140">
        <v>1103.4100000000001</v>
      </c>
    </row>
    <row r="141" spans="1:12">
      <c r="A141">
        <v>10140</v>
      </c>
      <c r="B141" t="s">
        <v>176</v>
      </c>
      <c r="C141">
        <v>1471</v>
      </c>
      <c r="D141" t="s">
        <v>34</v>
      </c>
      <c r="E141" t="s">
        <v>30</v>
      </c>
      <c r="F141">
        <v>5</v>
      </c>
      <c r="G141">
        <v>175.63</v>
      </c>
      <c r="H141">
        <v>0.31</v>
      </c>
      <c r="I141" t="s">
        <v>15</v>
      </c>
      <c r="J141">
        <v>8</v>
      </c>
      <c r="K141">
        <v>3.4</v>
      </c>
      <c r="L141">
        <v>605.91999999999996</v>
      </c>
    </row>
    <row r="142" spans="1:12">
      <c r="A142">
        <v>10141</v>
      </c>
      <c r="B142" t="s">
        <v>177</v>
      </c>
      <c r="C142">
        <v>1062</v>
      </c>
      <c r="D142" t="s">
        <v>34</v>
      </c>
      <c r="E142" t="s">
        <v>14</v>
      </c>
      <c r="F142">
        <v>2</v>
      </c>
      <c r="G142">
        <v>34</v>
      </c>
      <c r="H142">
        <v>0.15</v>
      </c>
      <c r="I142" t="s">
        <v>31</v>
      </c>
      <c r="J142">
        <v>3</v>
      </c>
      <c r="K142">
        <v>2.1</v>
      </c>
      <c r="L142">
        <v>57.8</v>
      </c>
    </row>
    <row r="143" spans="1:12">
      <c r="A143">
        <v>10142</v>
      </c>
      <c r="B143" t="s">
        <v>178</v>
      </c>
      <c r="C143">
        <v>1138</v>
      </c>
      <c r="D143" t="s">
        <v>55</v>
      </c>
      <c r="E143" t="s">
        <v>14</v>
      </c>
      <c r="F143">
        <v>7</v>
      </c>
      <c r="G143">
        <v>495.2</v>
      </c>
      <c r="H143">
        <v>0.14000000000000001</v>
      </c>
      <c r="I143" t="s">
        <v>28</v>
      </c>
      <c r="J143">
        <v>4</v>
      </c>
      <c r="K143">
        <v>2.4</v>
      </c>
      <c r="L143">
        <v>2981.1</v>
      </c>
    </row>
    <row r="144" spans="1:12">
      <c r="A144">
        <v>10143</v>
      </c>
      <c r="B144" t="s">
        <v>179</v>
      </c>
      <c r="C144">
        <v>1498</v>
      </c>
      <c r="D144" t="s">
        <v>27</v>
      </c>
      <c r="E144" t="s">
        <v>43</v>
      </c>
      <c r="F144">
        <v>7</v>
      </c>
      <c r="G144">
        <v>176.3</v>
      </c>
      <c r="H144">
        <v>0.16</v>
      </c>
      <c r="I144" t="s">
        <v>28</v>
      </c>
      <c r="J144">
        <v>5</v>
      </c>
      <c r="K144">
        <v>1.1000000000000001</v>
      </c>
      <c r="L144">
        <v>1036.6400000000001</v>
      </c>
    </row>
    <row r="145" spans="1:12">
      <c r="A145">
        <v>10144</v>
      </c>
      <c r="B145" t="s">
        <v>180</v>
      </c>
      <c r="C145">
        <v>1592</v>
      </c>
      <c r="D145" t="s">
        <v>34</v>
      </c>
      <c r="E145" t="s">
        <v>43</v>
      </c>
      <c r="F145">
        <v>5</v>
      </c>
      <c r="G145">
        <v>480.98</v>
      </c>
      <c r="H145">
        <v>0.03</v>
      </c>
      <c r="I145" t="s">
        <v>31</v>
      </c>
      <c r="J145">
        <v>7</v>
      </c>
      <c r="K145">
        <v>4.4000000000000004</v>
      </c>
      <c r="L145">
        <v>2332.75</v>
      </c>
    </row>
    <row r="146" spans="1:12">
      <c r="A146">
        <v>10145</v>
      </c>
      <c r="B146" t="s">
        <v>181</v>
      </c>
      <c r="C146">
        <v>1391</v>
      </c>
      <c r="D146" t="s">
        <v>27</v>
      </c>
      <c r="E146" t="s">
        <v>32</v>
      </c>
      <c r="F146">
        <v>6</v>
      </c>
      <c r="G146">
        <v>183.61</v>
      </c>
      <c r="H146">
        <v>0.31</v>
      </c>
      <c r="I146" t="s">
        <v>31</v>
      </c>
      <c r="J146">
        <v>11</v>
      </c>
      <c r="K146">
        <v>4</v>
      </c>
      <c r="L146">
        <v>760.15</v>
      </c>
    </row>
    <row r="147" spans="1:12">
      <c r="A147">
        <v>10146</v>
      </c>
      <c r="B147" t="s">
        <v>182</v>
      </c>
      <c r="C147">
        <v>1674</v>
      </c>
      <c r="D147" t="s">
        <v>34</v>
      </c>
      <c r="E147" t="s">
        <v>43</v>
      </c>
      <c r="F147">
        <v>4</v>
      </c>
      <c r="G147">
        <v>128.68</v>
      </c>
      <c r="H147">
        <v>0.3</v>
      </c>
      <c r="I147" t="s">
        <v>28</v>
      </c>
      <c r="J147">
        <v>6</v>
      </c>
      <c r="K147">
        <v>1.7</v>
      </c>
      <c r="L147">
        <v>360.3</v>
      </c>
    </row>
    <row r="148" spans="1:12">
      <c r="A148">
        <v>10147</v>
      </c>
      <c r="B148" t="s">
        <v>183</v>
      </c>
      <c r="C148">
        <v>1418</v>
      </c>
      <c r="D148" t="s">
        <v>34</v>
      </c>
      <c r="E148" t="s">
        <v>14</v>
      </c>
      <c r="F148">
        <v>4</v>
      </c>
      <c r="G148">
        <v>584.75</v>
      </c>
      <c r="H148">
        <v>0.35</v>
      </c>
      <c r="I148" t="s">
        <v>31</v>
      </c>
      <c r="J148">
        <v>2</v>
      </c>
      <c r="K148">
        <v>2.4</v>
      </c>
      <c r="L148">
        <v>1520.35</v>
      </c>
    </row>
    <row r="149" spans="1:12">
      <c r="A149">
        <v>10148</v>
      </c>
      <c r="B149" t="s">
        <v>184</v>
      </c>
      <c r="C149">
        <v>1288</v>
      </c>
      <c r="D149" t="s">
        <v>27</v>
      </c>
      <c r="E149" t="s">
        <v>30</v>
      </c>
      <c r="F149">
        <v>5</v>
      </c>
      <c r="G149">
        <v>226.56</v>
      </c>
      <c r="H149">
        <v>0.2</v>
      </c>
      <c r="I149" t="s">
        <v>28</v>
      </c>
      <c r="J149">
        <v>7</v>
      </c>
      <c r="K149">
        <v>2.7</v>
      </c>
      <c r="L149">
        <v>906.24</v>
      </c>
    </row>
    <row r="150" spans="1:12">
      <c r="A150">
        <v>10149</v>
      </c>
      <c r="B150" t="s">
        <v>185</v>
      </c>
      <c r="C150">
        <v>1378</v>
      </c>
      <c r="D150" t="s">
        <v>13</v>
      </c>
      <c r="E150" t="s">
        <v>32</v>
      </c>
      <c r="F150">
        <v>4</v>
      </c>
      <c r="G150">
        <v>366.81</v>
      </c>
      <c r="H150">
        <v>0.26</v>
      </c>
      <c r="I150" t="s">
        <v>28</v>
      </c>
      <c r="J150">
        <v>8</v>
      </c>
      <c r="K150">
        <v>2.2999999999999998</v>
      </c>
      <c r="L150">
        <v>1085.76</v>
      </c>
    </row>
    <row r="151" spans="1:12">
      <c r="A151">
        <v>10150</v>
      </c>
      <c r="B151" t="s">
        <v>186</v>
      </c>
      <c r="C151">
        <v>1772</v>
      </c>
      <c r="D151" t="s">
        <v>55</v>
      </c>
      <c r="E151" t="s">
        <v>43</v>
      </c>
      <c r="F151">
        <v>6</v>
      </c>
      <c r="G151">
        <v>371.84</v>
      </c>
      <c r="H151">
        <v>7.0000000000000007E-2</v>
      </c>
      <c r="I151" t="s">
        <v>31</v>
      </c>
      <c r="J151">
        <v>1</v>
      </c>
      <c r="K151">
        <v>4.2</v>
      </c>
      <c r="L151">
        <v>2074.87</v>
      </c>
    </row>
    <row r="152" spans="1:12">
      <c r="A152">
        <v>10151</v>
      </c>
      <c r="B152" t="s">
        <v>187</v>
      </c>
      <c r="C152">
        <v>1489</v>
      </c>
      <c r="D152" t="s">
        <v>34</v>
      </c>
      <c r="E152" t="s">
        <v>43</v>
      </c>
      <c r="F152">
        <v>3</v>
      </c>
      <c r="G152">
        <v>342.88</v>
      </c>
      <c r="H152">
        <v>0.19</v>
      </c>
      <c r="I152" t="s">
        <v>28</v>
      </c>
      <c r="J152">
        <v>6</v>
      </c>
      <c r="K152">
        <v>3.9</v>
      </c>
      <c r="L152">
        <v>792.05</v>
      </c>
    </row>
    <row r="153" spans="1:12">
      <c r="A153">
        <v>10152</v>
      </c>
      <c r="B153" t="s">
        <v>188</v>
      </c>
      <c r="C153">
        <v>1230</v>
      </c>
      <c r="D153" t="s">
        <v>13</v>
      </c>
      <c r="E153" t="s">
        <v>14</v>
      </c>
      <c r="F153">
        <v>1</v>
      </c>
      <c r="G153">
        <v>550.1</v>
      </c>
      <c r="H153">
        <v>0.23</v>
      </c>
      <c r="I153" t="s">
        <v>15</v>
      </c>
      <c r="J153">
        <v>11</v>
      </c>
      <c r="K153">
        <v>4.0999999999999996</v>
      </c>
      <c r="L153">
        <v>423.58</v>
      </c>
    </row>
    <row r="154" spans="1:12">
      <c r="A154">
        <v>10153</v>
      </c>
      <c r="B154" t="s">
        <v>189</v>
      </c>
      <c r="C154">
        <v>1040</v>
      </c>
      <c r="D154" t="s">
        <v>55</v>
      </c>
      <c r="E154" t="s">
        <v>32</v>
      </c>
      <c r="F154">
        <v>1</v>
      </c>
      <c r="G154">
        <v>409.55</v>
      </c>
      <c r="H154">
        <v>0.32</v>
      </c>
      <c r="I154" t="s">
        <v>28</v>
      </c>
      <c r="J154">
        <v>9</v>
      </c>
      <c r="K154">
        <v>4.5999999999999996</v>
      </c>
      <c r="L154">
        <v>278.49</v>
      </c>
    </row>
    <row r="155" spans="1:12">
      <c r="A155">
        <v>10154</v>
      </c>
      <c r="B155" t="s">
        <v>190</v>
      </c>
      <c r="C155">
        <v>1027</v>
      </c>
      <c r="D155" t="s">
        <v>55</v>
      </c>
      <c r="E155" t="s">
        <v>43</v>
      </c>
      <c r="F155">
        <v>1</v>
      </c>
      <c r="G155">
        <v>251.18</v>
      </c>
      <c r="H155">
        <v>0.28999999999999998</v>
      </c>
      <c r="I155" t="s">
        <v>31</v>
      </c>
      <c r="J155">
        <v>7</v>
      </c>
      <c r="K155">
        <v>3.4</v>
      </c>
      <c r="L155">
        <v>178.34</v>
      </c>
    </row>
    <row r="156" spans="1:12">
      <c r="A156">
        <v>10155</v>
      </c>
      <c r="B156" t="s">
        <v>191</v>
      </c>
      <c r="C156">
        <v>1134</v>
      </c>
      <c r="D156" t="s">
        <v>27</v>
      </c>
      <c r="E156" t="s">
        <v>30</v>
      </c>
      <c r="F156">
        <v>3</v>
      </c>
      <c r="G156">
        <v>519.49</v>
      </c>
      <c r="H156">
        <v>0.33</v>
      </c>
      <c r="I156" t="s">
        <v>28</v>
      </c>
      <c r="J156">
        <v>5</v>
      </c>
      <c r="K156">
        <v>3.5</v>
      </c>
      <c r="L156">
        <v>1044.17</v>
      </c>
    </row>
    <row r="157" spans="1:12">
      <c r="A157">
        <v>10156</v>
      </c>
      <c r="B157" t="s">
        <v>192</v>
      </c>
      <c r="C157">
        <v>1200</v>
      </c>
      <c r="D157" t="s">
        <v>27</v>
      </c>
      <c r="E157" t="s">
        <v>14</v>
      </c>
      <c r="F157">
        <v>4</v>
      </c>
      <c r="G157">
        <v>120.92</v>
      </c>
      <c r="H157">
        <v>0.3</v>
      </c>
      <c r="I157" t="s">
        <v>28</v>
      </c>
      <c r="J157">
        <v>10</v>
      </c>
      <c r="K157">
        <v>3.9</v>
      </c>
      <c r="L157">
        <v>338.58</v>
      </c>
    </row>
    <row r="158" spans="1:12">
      <c r="A158">
        <v>10157</v>
      </c>
      <c r="B158" t="s">
        <v>193</v>
      </c>
      <c r="C158">
        <v>1839</v>
      </c>
      <c r="D158" t="s">
        <v>34</v>
      </c>
      <c r="E158" t="s">
        <v>32</v>
      </c>
      <c r="F158">
        <v>5</v>
      </c>
      <c r="G158">
        <v>333.38</v>
      </c>
      <c r="H158">
        <v>0.3</v>
      </c>
      <c r="I158" t="s">
        <v>31</v>
      </c>
      <c r="J158">
        <v>11</v>
      </c>
      <c r="K158">
        <v>3.7</v>
      </c>
      <c r="L158">
        <v>1166.83</v>
      </c>
    </row>
    <row r="159" spans="1:12">
      <c r="A159">
        <v>10158</v>
      </c>
      <c r="B159" t="s">
        <v>194</v>
      </c>
      <c r="C159">
        <v>1779</v>
      </c>
      <c r="D159" t="s">
        <v>34</v>
      </c>
      <c r="E159" t="s">
        <v>43</v>
      </c>
      <c r="F159">
        <v>7</v>
      </c>
      <c r="G159">
        <v>571.07000000000005</v>
      </c>
      <c r="H159">
        <v>0.02</v>
      </c>
      <c r="I159" t="s">
        <v>31</v>
      </c>
      <c r="J159">
        <v>10</v>
      </c>
      <c r="K159">
        <v>4.5</v>
      </c>
      <c r="L159">
        <v>3917.54</v>
      </c>
    </row>
    <row r="160" spans="1:12">
      <c r="A160">
        <v>10159</v>
      </c>
      <c r="B160" t="s">
        <v>195</v>
      </c>
      <c r="C160">
        <v>1929</v>
      </c>
      <c r="D160" t="s">
        <v>34</v>
      </c>
      <c r="E160" t="s">
        <v>43</v>
      </c>
      <c r="F160">
        <v>2</v>
      </c>
      <c r="G160">
        <v>380.86</v>
      </c>
      <c r="H160">
        <v>0.3</v>
      </c>
      <c r="I160" t="s">
        <v>31</v>
      </c>
      <c r="J160">
        <v>9</v>
      </c>
      <c r="K160">
        <v>4.0999999999999996</v>
      </c>
      <c r="L160">
        <v>533.20000000000005</v>
      </c>
    </row>
    <row r="161" spans="1:12">
      <c r="A161">
        <v>10160</v>
      </c>
      <c r="B161" t="s">
        <v>196</v>
      </c>
      <c r="C161">
        <v>1032</v>
      </c>
      <c r="D161" t="s">
        <v>34</v>
      </c>
      <c r="E161" t="s">
        <v>32</v>
      </c>
      <c r="F161">
        <v>4</v>
      </c>
      <c r="G161">
        <v>492.93</v>
      </c>
      <c r="H161">
        <v>0.21</v>
      </c>
      <c r="I161" t="s">
        <v>31</v>
      </c>
      <c r="J161">
        <v>2</v>
      </c>
      <c r="K161">
        <v>1.5</v>
      </c>
      <c r="L161">
        <v>1557.66</v>
      </c>
    </row>
    <row r="162" spans="1:12">
      <c r="A162">
        <v>10161</v>
      </c>
      <c r="B162" t="s">
        <v>197</v>
      </c>
      <c r="C162">
        <v>1047</v>
      </c>
      <c r="D162" t="s">
        <v>27</v>
      </c>
      <c r="E162" t="s">
        <v>14</v>
      </c>
      <c r="F162">
        <v>3</v>
      </c>
      <c r="G162">
        <v>397.33</v>
      </c>
      <c r="H162">
        <v>0.13</v>
      </c>
      <c r="I162" t="s">
        <v>31</v>
      </c>
      <c r="J162">
        <v>7</v>
      </c>
      <c r="K162">
        <v>4.7</v>
      </c>
      <c r="L162">
        <v>1037.03</v>
      </c>
    </row>
    <row r="163" spans="1:12">
      <c r="A163">
        <v>10162</v>
      </c>
      <c r="B163" t="s">
        <v>198</v>
      </c>
      <c r="C163">
        <v>1502</v>
      </c>
      <c r="D163" t="s">
        <v>55</v>
      </c>
      <c r="E163" t="s">
        <v>32</v>
      </c>
      <c r="F163">
        <v>6</v>
      </c>
      <c r="G163">
        <v>506.03</v>
      </c>
      <c r="H163">
        <v>0.02</v>
      </c>
      <c r="I163" t="s">
        <v>31</v>
      </c>
      <c r="J163">
        <v>9</v>
      </c>
      <c r="K163">
        <v>3.7</v>
      </c>
      <c r="L163">
        <v>2975.46</v>
      </c>
    </row>
    <row r="164" spans="1:12">
      <c r="A164">
        <v>10163</v>
      </c>
      <c r="B164" t="s">
        <v>199</v>
      </c>
      <c r="C164">
        <v>1406</v>
      </c>
      <c r="D164" t="s">
        <v>27</v>
      </c>
      <c r="E164" t="s">
        <v>32</v>
      </c>
      <c r="F164">
        <v>3</v>
      </c>
      <c r="G164">
        <v>567.53</v>
      </c>
      <c r="H164">
        <v>0.24</v>
      </c>
      <c r="I164" t="s">
        <v>31</v>
      </c>
      <c r="J164">
        <v>2</v>
      </c>
      <c r="K164">
        <v>1.5</v>
      </c>
      <c r="L164">
        <v>1293.97</v>
      </c>
    </row>
    <row r="165" spans="1:12">
      <c r="A165">
        <v>10164</v>
      </c>
      <c r="B165" t="s">
        <v>200</v>
      </c>
      <c r="C165">
        <v>1573</v>
      </c>
      <c r="D165" t="s">
        <v>34</v>
      </c>
      <c r="E165" t="s">
        <v>14</v>
      </c>
      <c r="F165">
        <v>7</v>
      </c>
      <c r="G165">
        <v>174.66</v>
      </c>
      <c r="H165">
        <v>0.11</v>
      </c>
      <c r="I165" t="s">
        <v>31</v>
      </c>
      <c r="J165">
        <v>11</v>
      </c>
      <c r="K165">
        <v>4.0999999999999996</v>
      </c>
      <c r="L165">
        <v>1088.1300000000001</v>
      </c>
    </row>
    <row r="166" spans="1:12">
      <c r="A166">
        <v>10165</v>
      </c>
      <c r="B166" t="s">
        <v>201</v>
      </c>
      <c r="C166">
        <v>1727</v>
      </c>
      <c r="D166" t="s">
        <v>13</v>
      </c>
      <c r="E166" t="s">
        <v>43</v>
      </c>
      <c r="F166">
        <v>1</v>
      </c>
      <c r="G166">
        <v>114.25</v>
      </c>
      <c r="H166">
        <v>0.16</v>
      </c>
      <c r="I166" t="s">
        <v>31</v>
      </c>
      <c r="J166">
        <v>10</v>
      </c>
      <c r="K166">
        <v>2.4</v>
      </c>
      <c r="L166">
        <v>95.97</v>
      </c>
    </row>
    <row r="167" spans="1:12">
      <c r="A167">
        <v>10166</v>
      </c>
      <c r="B167" t="s">
        <v>202</v>
      </c>
      <c r="C167">
        <v>1804</v>
      </c>
      <c r="D167" t="s">
        <v>13</v>
      </c>
      <c r="E167" t="s">
        <v>30</v>
      </c>
      <c r="F167">
        <v>4</v>
      </c>
      <c r="G167">
        <v>298.13</v>
      </c>
      <c r="H167">
        <v>0.24</v>
      </c>
      <c r="I167" t="s">
        <v>15</v>
      </c>
      <c r="J167">
        <v>6</v>
      </c>
      <c r="K167">
        <v>4.2</v>
      </c>
      <c r="L167">
        <v>906.32</v>
      </c>
    </row>
    <row r="168" spans="1:12">
      <c r="A168">
        <v>10167</v>
      </c>
      <c r="B168" t="s">
        <v>203</v>
      </c>
      <c r="C168">
        <v>1098</v>
      </c>
      <c r="D168" t="s">
        <v>55</v>
      </c>
      <c r="E168" t="s">
        <v>14</v>
      </c>
      <c r="F168">
        <v>7</v>
      </c>
      <c r="G168">
        <v>425.59</v>
      </c>
      <c r="H168">
        <v>0.32</v>
      </c>
      <c r="I168" t="s">
        <v>28</v>
      </c>
      <c r="J168">
        <v>9</v>
      </c>
      <c r="K168">
        <v>4.8</v>
      </c>
      <c r="L168">
        <v>2025.81</v>
      </c>
    </row>
    <row r="169" spans="1:12">
      <c r="A169">
        <v>10168</v>
      </c>
      <c r="B169" t="s">
        <v>204</v>
      </c>
      <c r="C169">
        <v>1683</v>
      </c>
      <c r="D169" t="s">
        <v>13</v>
      </c>
      <c r="E169" t="s">
        <v>30</v>
      </c>
      <c r="F169">
        <v>1</v>
      </c>
      <c r="G169">
        <v>147.91</v>
      </c>
      <c r="H169">
        <v>0.28999999999999998</v>
      </c>
      <c r="I169" t="s">
        <v>31</v>
      </c>
      <c r="J169">
        <v>3</v>
      </c>
      <c r="K169">
        <v>2</v>
      </c>
      <c r="L169">
        <v>105.02</v>
      </c>
    </row>
    <row r="170" spans="1:12">
      <c r="A170">
        <v>10169</v>
      </c>
      <c r="B170" t="s">
        <v>205</v>
      </c>
      <c r="C170">
        <v>1871</v>
      </c>
      <c r="D170" t="s">
        <v>27</v>
      </c>
      <c r="E170" t="s">
        <v>43</v>
      </c>
      <c r="F170">
        <v>2</v>
      </c>
      <c r="G170">
        <v>17.399999999999999</v>
      </c>
      <c r="H170">
        <v>0.16</v>
      </c>
      <c r="I170" t="s">
        <v>28</v>
      </c>
      <c r="J170">
        <v>8</v>
      </c>
      <c r="K170">
        <v>4.4000000000000004</v>
      </c>
      <c r="L170">
        <v>29.23</v>
      </c>
    </row>
    <row r="171" spans="1:12">
      <c r="A171">
        <v>10170</v>
      </c>
      <c r="B171" t="s">
        <v>206</v>
      </c>
      <c r="C171">
        <v>1725</v>
      </c>
      <c r="D171" t="s">
        <v>13</v>
      </c>
      <c r="E171" t="s">
        <v>32</v>
      </c>
      <c r="F171">
        <v>6</v>
      </c>
      <c r="G171">
        <v>215.62</v>
      </c>
      <c r="H171">
        <v>0.14000000000000001</v>
      </c>
      <c r="I171" t="s">
        <v>28</v>
      </c>
      <c r="J171">
        <v>5</v>
      </c>
      <c r="K171">
        <v>4.0999999999999996</v>
      </c>
      <c r="L171">
        <v>1112.5999999999999</v>
      </c>
    </row>
    <row r="172" spans="1:12">
      <c r="A172">
        <v>10171</v>
      </c>
      <c r="B172" t="s">
        <v>207</v>
      </c>
      <c r="C172">
        <v>1986</v>
      </c>
      <c r="D172" t="s">
        <v>34</v>
      </c>
      <c r="E172" t="s">
        <v>30</v>
      </c>
      <c r="F172">
        <v>1</v>
      </c>
      <c r="G172">
        <v>581.78</v>
      </c>
      <c r="H172">
        <v>0.08</v>
      </c>
      <c r="I172" t="s">
        <v>28</v>
      </c>
      <c r="J172">
        <v>7</v>
      </c>
      <c r="K172">
        <v>3.7</v>
      </c>
      <c r="L172">
        <v>535.24</v>
      </c>
    </row>
    <row r="173" spans="1:12">
      <c r="A173">
        <v>10172</v>
      </c>
      <c r="B173" t="s">
        <v>208</v>
      </c>
      <c r="C173">
        <v>1546</v>
      </c>
      <c r="D173" t="s">
        <v>27</v>
      </c>
      <c r="E173" t="s">
        <v>43</v>
      </c>
      <c r="F173">
        <v>2</v>
      </c>
      <c r="G173">
        <v>421.56</v>
      </c>
      <c r="H173">
        <v>0.13</v>
      </c>
      <c r="I173" t="s">
        <v>15</v>
      </c>
      <c r="J173">
        <v>3</v>
      </c>
      <c r="K173">
        <v>2.5</v>
      </c>
      <c r="L173">
        <v>733.51</v>
      </c>
    </row>
    <row r="174" spans="1:12">
      <c r="A174">
        <v>10173</v>
      </c>
      <c r="B174" t="s">
        <v>209</v>
      </c>
      <c r="C174">
        <v>1960</v>
      </c>
      <c r="D174" t="s">
        <v>34</v>
      </c>
      <c r="E174" t="s">
        <v>43</v>
      </c>
      <c r="F174">
        <v>3</v>
      </c>
      <c r="G174">
        <v>249.78</v>
      </c>
      <c r="H174">
        <v>0.04</v>
      </c>
      <c r="I174" t="s">
        <v>31</v>
      </c>
      <c r="J174">
        <v>8</v>
      </c>
      <c r="K174">
        <v>1.4</v>
      </c>
      <c r="L174">
        <v>719.37</v>
      </c>
    </row>
    <row r="175" spans="1:12">
      <c r="A175">
        <v>10174</v>
      </c>
      <c r="B175" t="s">
        <v>210</v>
      </c>
      <c r="C175">
        <v>1738</v>
      </c>
      <c r="D175" t="s">
        <v>34</v>
      </c>
      <c r="E175" t="s">
        <v>32</v>
      </c>
      <c r="F175">
        <v>1</v>
      </c>
      <c r="G175">
        <v>127.66</v>
      </c>
      <c r="H175">
        <v>0.34</v>
      </c>
      <c r="I175" t="s">
        <v>31</v>
      </c>
      <c r="J175">
        <v>2</v>
      </c>
      <c r="K175">
        <v>2.9</v>
      </c>
      <c r="L175">
        <v>84.26</v>
      </c>
    </row>
    <row r="176" spans="1:12">
      <c r="A176">
        <v>10175</v>
      </c>
      <c r="B176" t="s">
        <v>211</v>
      </c>
      <c r="C176">
        <v>1612</v>
      </c>
      <c r="D176" t="s">
        <v>34</v>
      </c>
      <c r="E176" t="s">
        <v>32</v>
      </c>
      <c r="F176">
        <v>1</v>
      </c>
      <c r="G176">
        <v>223.31</v>
      </c>
      <c r="H176">
        <v>0.2</v>
      </c>
      <c r="I176" t="s">
        <v>28</v>
      </c>
      <c r="J176">
        <v>8</v>
      </c>
      <c r="K176">
        <v>1.4</v>
      </c>
      <c r="L176">
        <v>178.65</v>
      </c>
    </row>
    <row r="177" spans="1:12">
      <c r="A177">
        <v>10176</v>
      </c>
      <c r="B177" t="s">
        <v>212</v>
      </c>
      <c r="C177">
        <v>1942</v>
      </c>
      <c r="D177" t="s">
        <v>27</v>
      </c>
      <c r="E177" t="s">
        <v>43</v>
      </c>
      <c r="F177">
        <v>5</v>
      </c>
      <c r="G177">
        <v>114.36</v>
      </c>
      <c r="H177">
        <v>0.04</v>
      </c>
      <c r="I177" t="s">
        <v>31</v>
      </c>
      <c r="J177">
        <v>2</v>
      </c>
      <c r="K177">
        <v>3</v>
      </c>
      <c r="L177">
        <v>548.92999999999995</v>
      </c>
    </row>
    <row r="178" spans="1:12">
      <c r="A178">
        <v>10177</v>
      </c>
      <c r="B178" t="s">
        <v>213</v>
      </c>
      <c r="C178">
        <v>1461</v>
      </c>
      <c r="D178" t="s">
        <v>55</v>
      </c>
      <c r="E178" t="s">
        <v>43</v>
      </c>
      <c r="F178">
        <v>6</v>
      </c>
      <c r="G178">
        <v>77.19</v>
      </c>
      <c r="H178">
        <v>0.12</v>
      </c>
      <c r="I178" t="s">
        <v>15</v>
      </c>
      <c r="J178">
        <v>7</v>
      </c>
      <c r="K178">
        <v>4.3</v>
      </c>
      <c r="L178">
        <v>407.56</v>
      </c>
    </row>
    <row r="179" spans="1:12">
      <c r="A179">
        <v>10178</v>
      </c>
      <c r="B179" t="s">
        <v>214</v>
      </c>
      <c r="C179">
        <v>1642</v>
      </c>
      <c r="D179" t="s">
        <v>27</v>
      </c>
      <c r="E179" t="s">
        <v>30</v>
      </c>
      <c r="F179">
        <v>6</v>
      </c>
      <c r="G179">
        <v>545.44000000000005</v>
      </c>
      <c r="H179">
        <v>0.19</v>
      </c>
      <c r="I179" t="s">
        <v>28</v>
      </c>
      <c r="J179">
        <v>2</v>
      </c>
      <c r="K179">
        <v>5</v>
      </c>
      <c r="L179">
        <v>2650.84</v>
      </c>
    </row>
    <row r="180" spans="1:12">
      <c r="A180">
        <v>10179</v>
      </c>
      <c r="B180" t="s">
        <v>215</v>
      </c>
      <c r="C180">
        <v>1768</v>
      </c>
      <c r="D180" t="s">
        <v>34</v>
      </c>
      <c r="E180" t="s">
        <v>43</v>
      </c>
      <c r="F180">
        <v>7</v>
      </c>
      <c r="G180">
        <v>598.63</v>
      </c>
      <c r="H180">
        <v>0.19</v>
      </c>
      <c r="I180" t="s">
        <v>28</v>
      </c>
      <c r="J180">
        <v>7</v>
      </c>
      <c r="K180">
        <v>1.8</v>
      </c>
      <c r="L180">
        <v>3394.23</v>
      </c>
    </row>
    <row r="181" spans="1:12">
      <c r="A181">
        <v>10180</v>
      </c>
      <c r="B181" t="s">
        <v>216</v>
      </c>
      <c r="C181">
        <v>1004</v>
      </c>
      <c r="D181" t="s">
        <v>55</v>
      </c>
      <c r="E181" t="s">
        <v>43</v>
      </c>
      <c r="F181">
        <v>3</v>
      </c>
      <c r="G181">
        <v>111.01</v>
      </c>
      <c r="H181">
        <v>0.01</v>
      </c>
      <c r="I181" t="s">
        <v>28</v>
      </c>
      <c r="J181">
        <v>1</v>
      </c>
      <c r="K181">
        <v>1.8</v>
      </c>
      <c r="L181">
        <v>329.7</v>
      </c>
    </row>
    <row r="182" spans="1:12">
      <c r="A182">
        <v>10181</v>
      </c>
      <c r="B182" t="s">
        <v>217</v>
      </c>
      <c r="C182">
        <v>1217</v>
      </c>
      <c r="D182" t="s">
        <v>27</v>
      </c>
      <c r="E182" t="s">
        <v>30</v>
      </c>
      <c r="F182">
        <v>5</v>
      </c>
      <c r="G182">
        <v>296.85000000000002</v>
      </c>
      <c r="H182">
        <v>0.33</v>
      </c>
      <c r="I182" t="s">
        <v>31</v>
      </c>
      <c r="J182">
        <v>6</v>
      </c>
      <c r="K182">
        <v>4.2</v>
      </c>
      <c r="L182">
        <v>157.11000000000001</v>
      </c>
    </row>
    <row r="183" spans="1:12">
      <c r="A183">
        <v>10182</v>
      </c>
      <c r="B183" t="s">
        <v>218</v>
      </c>
      <c r="C183">
        <v>1502</v>
      </c>
      <c r="D183" t="s">
        <v>27</v>
      </c>
      <c r="E183" t="s">
        <v>14</v>
      </c>
      <c r="F183">
        <v>7</v>
      </c>
      <c r="G183">
        <v>207.89</v>
      </c>
      <c r="H183">
        <v>0.1</v>
      </c>
      <c r="I183" t="s">
        <v>31</v>
      </c>
      <c r="J183">
        <v>10</v>
      </c>
      <c r="K183">
        <v>2.9</v>
      </c>
      <c r="L183">
        <v>1309.71</v>
      </c>
    </row>
    <row r="184" spans="1:12">
      <c r="A184">
        <v>10183</v>
      </c>
      <c r="B184" t="s">
        <v>219</v>
      </c>
      <c r="C184">
        <v>1766</v>
      </c>
      <c r="D184" t="s">
        <v>55</v>
      </c>
      <c r="E184" t="s">
        <v>30</v>
      </c>
      <c r="F184">
        <v>2</v>
      </c>
      <c r="G184">
        <v>285.07</v>
      </c>
      <c r="H184">
        <v>0.01</v>
      </c>
      <c r="I184" t="s">
        <v>31</v>
      </c>
      <c r="J184">
        <v>7</v>
      </c>
      <c r="K184">
        <v>4.7</v>
      </c>
      <c r="L184">
        <v>564.44000000000005</v>
      </c>
    </row>
    <row r="185" spans="1:12">
      <c r="A185">
        <v>10184</v>
      </c>
      <c r="B185" t="s">
        <v>220</v>
      </c>
      <c r="C185">
        <v>1397</v>
      </c>
      <c r="D185" t="s">
        <v>34</v>
      </c>
      <c r="E185" t="s">
        <v>30</v>
      </c>
      <c r="F185">
        <v>7</v>
      </c>
      <c r="G185">
        <v>134.82</v>
      </c>
      <c r="H185">
        <v>0.03</v>
      </c>
      <c r="I185" t="s">
        <v>31</v>
      </c>
      <c r="J185">
        <v>4</v>
      </c>
      <c r="K185">
        <v>4.0999999999999996</v>
      </c>
      <c r="L185">
        <v>915.43</v>
      </c>
    </row>
    <row r="186" spans="1:12">
      <c r="A186">
        <v>10185</v>
      </c>
      <c r="B186" t="s">
        <v>221</v>
      </c>
      <c r="C186">
        <v>1870</v>
      </c>
      <c r="D186" t="s">
        <v>34</v>
      </c>
      <c r="E186" t="s">
        <v>32</v>
      </c>
      <c r="F186">
        <v>2</v>
      </c>
      <c r="G186">
        <v>191.33</v>
      </c>
      <c r="H186">
        <v>0.2</v>
      </c>
      <c r="I186" t="s">
        <v>28</v>
      </c>
      <c r="J186">
        <v>11</v>
      </c>
      <c r="K186">
        <v>3.9</v>
      </c>
      <c r="L186">
        <v>306.13</v>
      </c>
    </row>
    <row r="187" spans="1:12">
      <c r="A187">
        <v>10186</v>
      </c>
      <c r="B187" t="s">
        <v>222</v>
      </c>
      <c r="C187">
        <v>1794</v>
      </c>
      <c r="D187" t="s">
        <v>13</v>
      </c>
      <c r="E187" t="s">
        <v>30</v>
      </c>
      <c r="F187">
        <v>3</v>
      </c>
      <c r="G187">
        <v>132.51</v>
      </c>
      <c r="H187">
        <v>0.05</v>
      </c>
      <c r="I187" t="s">
        <v>31</v>
      </c>
      <c r="J187">
        <v>11</v>
      </c>
      <c r="K187">
        <v>1.4</v>
      </c>
      <c r="L187">
        <v>377.65</v>
      </c>
    </row>
    <row r="188" spans="1:12">
      <c r="A188">
        <v>10187</v>
      </c>
      <c r="B188" t="s">
        <v>223</v>
      </c>
      <c r="C188">
        <v>1392</v>
      </c>
      <c r="D188" t="s">
        <v>34</v>
      </c>
      <c r="E188" t="s">
        <v>43</v>
      </c>
      <c r="F188">
        <v>6</v>
      </c>
      <c r="G188">
        <v>467.94</v>
      </c>
      <c r="H188">
        <v>0.01</v>
      </c>
      <c r="I188" t="s">
        <v>28</v>
      </c>
      <c r="J188">
        <v>1</v>
      </c>
      <c r="K188">
        <v>1.1000000000000001</v>
      </c>
      <c r="L188">
        <v>2779.56</v>
      </c>
    </row>
    <row r="189" spans="1:12">
      <c r="A189">
        <v>10188</v>
      </c>
      <c r="B189" t="s">
        <v>224</v>
      </c>
      <c r="C189">
        <v>1206</v>
      </c>
      <c r="D189" t="s">
        <v>27</v>
      </c>
      <c r="E189" t="s">
        <v>43</v>
      </c>
      <c r="F189">
        <v>2</v>
      </c>
      <c r="G189">
        <v>431.86</v>
      </c>
      <c r="H189">
        <v>0.13</v>
      </c>
      <c r="I189" t="s">
        <v>28</v>
      </c>
      <c r="J189">
        <v>6</v>
      </c>
      <c r="K189">
        <v>2.2999999999999998</v>
      </c>
      <c r="L189">
        <v>751.44</v>
      </c>
    </row>
    <row r="190" spans="1:12">
      <c r="A190">
        <v>10189</v>
      </c>
      <c r="B190" t="s">
        <v>225</v>
      </c>
      <c r="C190">
        <v>1014</v>
      </c>
      <c r="D190" t="s">
        <v>13</v>
      </c>
      <c r="E190" t="s">
        <v>43</v>
      </c>
      <c r="F190">
        <v>3</v>
      </c>
      <c r="G190">
        <v>386.45</v>
      </c>
      <c r="H190">
        <v>0.22</v>
      </c>
      <c r="I190" t="s">
        <v>31</v>
      </c>
      <c r="J190">
        <v>4</v>
      </c>
      <c r="K190">
        <v>1.9</v>
      </c>
      <c r="L190">
        <v>904.29</v>
      </c>
    </row>
    <row r="191" spans="1:12">
      <c r="A191">
        <v>10190</v>
      </c>
      <c r="B191" t="s">
        <v>226</v>
      </c>
      <c r="C191">
        <v>1857</v>
      </c>
      <c r="D191" t="s">
        <v>55</v>
      </c>
      <c r="E191" t="s">
        <v>14</v>
      </c>
      <c r="F191">
        <v>7</v>
      </c>
      <c r="G191">
        <v>241.52</v>
      </c>
      <c r="H191">
        <v>0.04</v>
      </c>
      <c r="I191" t="s">
        <v>15</v>
      </c>
      <c r="J191">
        <v>3</v>
      </c>
      <c r="K191">
        <v>3.8</v>
      </c>
      <c r="L191">
        <v>1623.01</v>
      </c>
    </row>
    <row r="192" spans="1:12">
      <c r="A192">
        <v>10191</v>
      </c>
      <c r="B192" t="s">
        <v>227</v>
      </c>
      <c r="C192">
        <v>1553</v>
      </c>
      <c r="D192" t="s">
        <v>34</v>
      </c>
      <c r="E192" t="s">
        <v>43</v>
      </c>
      <c r="F192">
        <v>2</v>
      </c>
      <c r="G192">
        <v>546.79</v>
      </c>
      <c r="H192">
        <v>0.11</v>
      </c>
      <c r="I192" t="s">
        <v>31</v>
      </c>
      <c r="J192">
        <v>4</v>
      </c>
      <c r="K192">
        <v>2.8</v>
      </c>
      <c r="L192">
        <v>973.29</v>
      </c>
    </row>
    <row r="193" spans="1:12">
      <c r="A193">
        <v>10192</v>
      </c>
      <c r="B193" t="s">
        <v>228</v>
      </c>
      <c r="C193">
        <v>1891</v>
      </c>
      <c r="D193" t="s">
        <v>34</v>
      </c>
      <c r="E193" t="s">
        <v>14</v>
      </c>
      <c r="F193">
        <v>4</v>
      </c>
      <c r="G193">
        <v>582.17999999999995</v>
      </c>
      <c r="H193">
        <v>0.15</v>
      </c>
      <c r="I193" t="s">
        <v>31</v>
      </c>
      <c r="J193">
        <v>6</v>
      </c>
      <c r="K193">
        <v>3.1</v>
      </c>
      <c r="L193">
        <v>1979.41</v>
      </c>
    </row>
    <row r="194" spans="1:12">
      <c r="A194">
        <v>10193</v>
      </c>
      <c r="B194" t="s">
        <v>229</v>
      </c>
      <c r="C194">
        <v>1460</v>
      </c>
      <c r="D194" t="s">
        <v>34</v>
      </c>
      <c r="E194" t="s">
        <v>43</v>
      </c>
      <c r="F194">
        <v>1</v>
      </c>
      <c r="G194">
        <v>116.58</v>
      </c>
      <c r="H194">
        <v>0.06</v>
      </c>
      <c r="I194" t="s">
        <v>28</v>
      </c>
      <c r="J194">
        <v>5</v>
      </c>
      <c r="K194">
        <v>4.3</v>
      </c>
      <c r="L194">
        <v>109.59</v>
      </c>
    </row>
    <row r="195" spans="1:12">
      <c r="A195">
        <v>10194</v>
      </c>
      <c r="B195" t="s">
        <v>230</v>
      </c>
      <c r="C195">
        <v>1690</v>
      </c>
      <c r="D195" t="s">
        <v>27</v>
      </c>
      <c r="E195" t="s">
        <v>30</v>
      </c>
      <c r="F195">
        <v>7</v>
      </c>
      <c r="G195">
        <v>145.46</v>
      </c>
      <c r="H195">
        <v>0.18</v>
      </c>
      <c r="I195" t="s">
        <v>28</v>
      </c>
      <c r="J195">
        <v>2</v>
      </c>
      <c r="K195">
        <v>2.9</v>
      </c>
      <c r="L195">
        <v>834.94</v>
      </c>
    </row>
    <row r="196" spans="1:12">
      <c r="A196">
        <v>10195</v>
      </c>
      <c r="B196" t="s">
        <v>231</v>
      </c>
      <c r="C196">
        <v>1574</v>
      </c>
      <c r="D196" t="s">
        <v>27</v>
      </c>
      <c r="E196" t="s">
        <v>32</v>
      </c>
      <c r="F196">
        <v>6</v>
      </c>
      <c r="G196">
        <v>322.49</v>
      </c>
      <c r="H196">
        <v>0.03</v>
      </c>
      <c r="I196" t="s">
        <v>28</v>
      </c>
      <c r="J196">
        <v>2</v>
      </c>
      <c r="K196">
        <v>3.2</v>
      </c>
      <c r="L196">
        <v>1876.89</v>
      </c>
    </row>
    <row r="197" spans="1:12">
      <c r="A197">
        <v>10196</v>
      </c>
      <c r="B197" t="s">
        <v>232</v>
      </c>
      <c r="C197">
        <v>1863</v>
      </c>
      <c r="D197" t="s">
        <v>34</v>
      </c>
      <c r="E197" t="s">
        <v>43</v>
      </c>
      <c r="F197">
        <v>7</v>
      </c>
      <c r="G197">
        <v>68.38</v>
      </c>
      <c r="H197">
        <v>0.02</v>
      </c>
      <c r="I197" t="s">
        <v>15</v>
      </c>
      <c r="J197">
        <v>3</v>
      </c>
      <c r="K197">
        <v>4.4000000000000004</v>
      </c>
      <c r="L197">
        <v>469.09</v>
      </c>
    </row>
    <row r="198" spans="1:12">
      <c r="A198">
        <v>10197</v>
      </c>
      <c r="B198" t="s">
        <v>233</v>
      </c>
      <c r="C198">
        <v>1742</v>
      </c>
      <c r="D198" t="s">
        <v>13</v>
      </c>
      <c r="E198" t="s">
        <v>14</v>
      </c>
      <c r="F198">
        <v>4</v>
      </c>
      <c r="G198">
        <v>270.32</v>
      </c>
      <c r="H198">
        <v>0.18</v>
      </c>
      <c r="I198" t="s">
        <v>15</v>
      </c>
      <c r="J198">
        <v>11</v>
      </c>
      <c r="K198">
        <v>2.7</v>
      </c>
      <c r="L198">
        <v>886.65</v>
      </c>
    </row>
    <row r="199" spans="1:12">
      <c r="A199">
        <v>10198</v>
      </c>
      <c r="B199" t="s">
        <v>234</v>
      </c>
      <c r="C199">
        <v>1240</v>
      </c>
      <c r="D199" t="s">
        <v>27</v>
      </c>
      <c r="E199" t="s">
        <v>14</v>
      </c>
      <c r="F199">
        <v>3</v>
      </c>
      <c r="G199">
        <v>355.35</v>
      </c>
      <c r="H199">
        <v>0.09</v>
      </c>
      <c r="I199" t="s">
        <v>15</v>
      </c>
      <c r="J199">
        <v>6</v>
      </c>
      <c r="K199">
        <v>1.3</v>
      </c>
      <c r="L199">
        <v>970.11</v>
      </c>
    </row>
    <row r="200" spans="1:12">
      <c r="A200">
        <v>10199</v>
      </c>
      <c r="B200" t="s">
        <v>235</v>
      </c>
      <c r="C200">
        <v>1563</v>
      </c>
      <c r="D200" t="s">
        <v>34</v>
      </c>
      <c r="E200" t="s">
        <v>32</v>
      </c>
      <c r="F200">
        <v>3</v>
      </c>
      <c r="G200">
        <v>320.41000000000003</v>
      </c>
      <c r="H200">
        <v>0.03</v>
      </c>
      <c r="I200" t="s">
        <v>28</v>
      </c>
      <c r="J200">
        <v>1</v>
      </c>
      <c r="K200">
        <v>3.1</v>
      </c>
      <c r="L200">
        <v>932.39</v>
      </c>
    </row>
    <row r="201" spans="1:12">
      <c r="A201">
        <v>10200</v>
      </c>
      <c r="B201" t="s">
        <v>236</v>
      </c>
      <c r="C201">
        <v>1095</v>
      </c>
      <c r="D201" t="s">
        <v>27</v>
      </c>
      <c r="E201" t="s">
        <v>43</v>
      </c>
      <c r="F201">
        <v>7</v>
      </c>
      <c r="G201">
        <v>208.58</v>
      </c>
      <c r="H201">
        <v>0.15</v>
      </c>
      <c r="I201" t="s">
        <v>31</v>
      </c>
      <c r="J201">
        <v>11</v>
      </c>
      <c r="K201">
        <v>3.3</v>
      </c>
      <c r="L201">
        <v>1241.05</v>
      </c>
    </row>
    <row r="202" spans="1:12">
      <c r="A202">
        <v>10201</v>
      </c>
      <c r="B202" t="s">
        <v>237</v>
      </c>
      <c r="C202">
        <v>1899</v>
      </c>
      <c r="D202" t="s">
        <v>55</v>
      </c>
      <c r="E202" t="s">
        <v>30</v>
      </c>
      <c r="F202">
        <v>4</v>
      </c>
      <c r="G202">
        <v>332.33</v>
      </c>
      <c r="H202">
        <v>0.32</v>
      </c>
      <c r="I202" t="s">
        <v>31</v>
      </c>
      <c r="J202">
        <v>7</v>
      </c>
      <c r="K202">
        <v>3</v>
      </c>
      <c r="L202">
        <v>903.94</v>
      </c>
    </row>
    <row r="203" spans="1:12">
      <c r="A203">
        <v>10202</v>
      </c>
      <c r="B203" t="s">
        <v>238</v>
      </c>
      <c r="C203">
        <v>1733</v>
      </c>
      <c r="D203" t="s">
        <v>34</v>
      </c>
      <c r="E203" t="s">
        <v>43</v>
      </c>
      <c r="F203">
        <v>7</v>
      </c>
      <c r="G203">
        <v>575.9</v>
      </c>
      <c r="H203">
        <v>0.25</v>
      </c>
      <c r="I203" t="s">
        <v>31</v>
      </c>
      <c r="J203">
        <v>8</v>
      </c>
      <c r="K203">
        <v>2</v>
      </c>
      <c r="L203">
        <v>3023.48</v>
      </c>
    </row>
    <row r="204" spans="1:12">
      <c r="A204">
        <v>10203</v>
      </c>
      <c r="B204" t="s">
        <v>239</v>
      </c>
      <c r="C204">
        <v>1484</v>
      </c>
      <c r="D204" t="s">
        <v>34</v>
      </c>
      <c r="E204" t="s">
        <v>43</v>
      </c>
      <c r="F204">
        <v>1</v>
      </c>
      <c r="G204">
        <v>135.52000000000001</v>
      </c>
      <c r="H204">
        <v>0.28999999999999998</v>
      </c>
      <c r="I204" t="s">
        <v>31</v>
      </c>
      <c r="J204">
        <v>7</v>
      </c>
      <c r="K204">
        <v>1.9</v>
      </c>
      <c r="L204">
        <v>96.22</v>
      </c>
    </row>
    <row r="205" spans="1:12">
      <c r="A205">
        <v>10204</v>
      </c>
      <c r="B205" t="s">
        <v>240</v>
      </c>
      <c r="C205">
        <v>1406</v>
      </c>
      <c r="D205" t="s">
        <v>55</v>
      </c>
      <c r="E205" t="s">
        <v>32</v>
      </c>
      <c r="F205">
        <v>1</v>
      </c>
      <c r="G205">
        <v>398.08</v>
      </c>
      <c r="H205">
        <v>0.31</v>
      </c>
      <c r="I205" t="s">
        <v>31</v>
      </c>
      <c r="J205">
        <v>11</v>
      </c>
      <c r="K205">
        <v>2.5</v>
      </c>
      <c r="L205">
        <v>274.68</v>
      </c>
    </row>
    <row r="206" spans="1:12">
      <c r="A206">
        <v>10205</v>
      </c>
      <c r="B206" t="s">
        <v>241</v>
      </c>
      <c r="C206">
        <v>1230</v>
      </c>
      <c r="D206" t="s">
        <v>27</v>
      </c>
      <c r="E206" t="s">
        <v>43</v>
      </c>
      <c r="F206">
        <v>5</v>
      </c>
      <c r="G206">
        <v>40.39</v>
      </c>
      <c r="H206">
        <v>0.34</v>
      </c>
      <c r="I206" t="s">
        <v>28</v>
      </c>
      <c r="J206">
        <v>3</v>
      </c>
      <c r="K206">
        <v>1.7</v>
      </c>
      <c r="L206">
        <v>133.29</v>
      </c>
    </row>
    <row r="207" spans="1:12">
      <c r="A207">
        <v>10206</v>
      </c>
      <c r="B207" t="s">
        <v>242</v>
      </c>
      <c r="C207">
        <v>1748</v>
      </c>
      <c r="D207" t="s">
        <v>27</v>
      </c>
      <c r="E207" t="s">
        <v>30</v>
      </c>
      <c r="F207">
        <v>2</v>
      </c>
      <c r="G207">
        <v>53.85</v>
      </c>
      <c r="H207">
        <v>0.27</v>
      </c>
      <c r="I207" t="s">
        <v>28</v>
      </c>
      <c r="J207">
        <v>6</v>
      </c>
      <c r="K207">
        <v>3.7</v>
      </c>
      <c r="L207">
        <v>78.62</v>
      </c>
    </row>
    <row r="208" spans="1:12">
      <c r="A208">
        <v>10207</v>
      </c>
      <c r="B208" t="s">
        <v>243</v>
      </c>
      <c r="C208">
        <v>1654</v>
      </c>
      <c r="D208" t="s">
        <v>27</v>
      </c>
      <c r="E208" t="s">
        <v>14</v>
      </c>
      <c r="F208">
        <v>5</v>
      </c>
      <c r="G208">
        <v>337.82</v>
      </c>
      <c r="H208">
        <v>0.21</v>
      </c>
      <c r="I208" t="s">
        <v>28</v>
      </c>
      <c r="J208">
        <v>4</v>
      </c>
      <c r="K208">
        <v>3.5</v>
      </c>
      <c r="L208">
        <v>1334.39</v>
      </c>
    </row>
    <row r="209" spans="1:26">
      <c r="A209">
        <v>10208</v>
      </c>
      <c r="B209" t="s">
        <v>244</v>
      </c>
      <c r="C209">
        <v>1170</v>
      </c>
      <c r="D209" t="s">
        <v>34</v>
      </c>
      <c r="E209" t="s">
        <v>32</v>
      </c>
      <c r="F209">
        <v>1</v>
      </c>
      <c r="G209">
        <v>76.39</v>
      </c>
      <c r="H209">
        <v>0.13</v>
      </c>
      <c r="I209" t="s">
        <v>28</v>
      </c>
      <c r="J209">
        <v>5</v>
      </c>
      <c r="K209">
        <v>3.5</v>
      </c>
      <c r="L209">
        <v>66.459999999999994</v>
      </c>
    </row>
    <row r="210" spans="1:26">
      <c r="A210">
        <v>10209</v>
      </c>
      <c r="B210" t="s">
        <v>245</v>
      </c>
      <c r="C210">
        <v>1540</v>
      </c>
      <c r="D210" t="s">
        <v>34</v>
      </c>
      <c r="E210" t="s">
        <v>30</v>
      </c>
      <c r="F210">
        <v>4</v>
      </c>
      <c r="G210">
        <v>28.07</v>
      </c>
      <c r="H210">
        <v>0.06</v>
      </c>
      <c r="I210" t="s">
        <v>28</v>
      </c>
      <c r="J210">
        <v>3</v>
      </c>
      <c r="K210">
        <v>1.9</v>
      </c>
      <c r="L210">
        <v>105.54</v>
      </c>
    </row>
    <row r="211" spans="1:26">
      <c r="A211">
        <v>10210</v>
      </c>
      <c r="B211" t="s">
        <v>246</v>
      </c>
      <c r="C211">
        <v>1035</v>
      </c>
      <c r="D211" t="s">
        <v>27</v>
      </c>
      <c r="E211" t="s">
        <v>14</v>
      </c>
      <c r="F211">
        <v>2</v>
      </c>
      <c r="G211">
        <v>115.34</v>
      </c>
      <c r="H211">
        <v>0.24</v>
      </c>
      <c r="I211" t="s">
        <v>28</v>
      </c>
      <c r="J211">
        <v>5</v>
      </c>
      <c r="K211">
        <v>2</v>
      </c>
      <c r="L211">
        <v>175.32</v>
      </c>
    </row>
    <row r="212" spans="1:26">
      <c r="A212">
        <v>10211</v>
      </c>
      <c r="B212" t="s">
        <v>247</v>
      </c>
      <c r="C212">
        <v>1524</v>
      </c>
      <c r="D212" t="s">
        <v>34</v>
      </c>
      <c r="E212" t="s">
        <v>32</v>
      </c>
      <c r="F212">
        <v>4</v>
      </c>
      <c r="G212">
        <v>345.44</v>
      </c>
      <c r="H212">
        <v>0.35</v>
      </c>
      <c r="I212" t="s">
        <v>28</v>
      </c>
      <c r="J212">
        <v>6</v>
      </c>
      <c r="K212">
        <v>4.0999999999999996</v>
      </c>
      <c r="L212">
        <v>898.14</v>
      </c>
      <c r="Z212">
        <f>MEDIAN(F2:F1001)</f>
        <v>4</v>
      </c>
    </row>
    <row r="213" spans="1:26">
      <c r="A213">
        <v>10212</v>
      </c>
      <c r="B213" t="s">
        <v>248</v>
      </c>
      <c r="C213">
        <v>1159</v>
      </c>
      <c r="D213" t="s">
        <v>34</v>
      </c>
      <c r="E213" t="s">
        <v>32</v>
      </c>
      <c r="F213">
        <v>5</v>
      </c>
      <c r="G213">
        <v>426.45</v>
      </c>
      <c r="H213">
        <v>0.16</v>
      </c>
      <c r="I213" t="s">
        <v>31</v>
      </c>
      <c r="J213">
        <v>8</v>
      </c>
      <c r="K213">
        <v>3.8</v>
      </c>
      <c r="L213">
        <v>1791.09</v>
      </c>
    </row>
    <row r="214" spans="1:26">
      <c r="A214">
        <v>10213</v>
      </c>
      <c r="B214" t="s">
        <v>249</v>
      </c>
      <c r="C214">
        <v>1838</v>
      </c>
      <c r="D214" t="s">
        <v>55</v>
      </c>
      <c r="E214" t="s">
        <v>14</v>
      </c>
      <c r="F214">
        <v>3</v>
      </c>
      <c r="G214">
        <v>133.44999999999999</v>
      </c>
      <c r="H214">
        <v>0.25</v>
      </c>
      <c r="I214" t="s">
        <v>15</v>
      </c>
      <c r="J214">
        <v>6</v>
      </c>
      <c r="K214">
        <v>4.5</v>
      </c>
      <c r="L214">
        <v>300.26</v>
      </c>
    </row>
    <row r="215" spans="1:26">
      <c r="A215">
        <v>10214</v>
      </c>
      <c r="B215" t="s">
        <v>250</v>
      </c>
      <c r="C215">
        <v>1698</v>
      </c>
      <c r="D215" t="s">
        <v>13</v>
      </c>
      <c r="E215" t="s">
        <v>14</v>
      </c>
      <c r="F215">
        <v>4</v>
      </c>
      <c r="G215">
        <v>405.93</v>
      </c>
      <c r="H215">
        <v>0.17</v>
      </c>
      <c r="I215" t="s">
        <v>15</v>
      </c>
      <c r="J215">
        <v>9</v>
      </c>
      <c r="K215">
        <v>2.6</v>
      </c>
      <c r="L215">
        <v>1347.69</v>
      </c>
    </row>
    <row r="216" spans="1:26">
      <c r="A216">
        <v>10215</v>
      </c>
      <c r="B216" t="s">
        <v>251</v>
      </c>
      <c r="C216">
        <v>1242</v>
      </c>
      <c r="D216" t="s">
        <v>55</v>
      </c>
      <c r="E216" t="s">
        <v>30</v>
      </c>
      <c r="F216">
        <v>5</v>
      </c>
      <c r="G216">
        <v>121.75</v>
      </c>
      <c r="H216">
        <v>0.15</v>
      </c>
      <c r="I216" t="s">
        <v>28</v>
      </c>
      <c r="J216">
        <v>10</v>
      </c>
      <c r="K216">
        <v>3.2</v>
      </c>
      <c r="L216">
        <v>517.44000000000005</v>
      </c>
    </row>
    <row r="217" spans="1:26">
      <c r="A217">
        <v>10216</v>
      </c>
      <c r="B217" t="s">
        <v>252</v>
      </c>
      <c r="C217">
        <v>1085</v>
      </c>
      <c r="D217" t="s">
        <v>13</v>
      </c>
      <c r="E217" t="s">
        <v>43</v>
      </c>
      <c r="F217">
        <v>5</v>
      </c>
      <c r="G217">
        <v>373.87</v>
      </c>
      <c r="H217">
        <v>0.14000000000000001</v>
      </c>
      <c r="I217" t="s">
        <v>28</v>
      </c>
      <c r="J217">
        <v>10</v>
      </c>
      <c r="K217">
        <v>4</v>
      </c>
      <c r="L217">
        <v>1607.64</v>
      </c>
    </row>
    <row r="218" spans="1:26">
      <c r="A218">
        <v>10217</v>
      </c>
      <c r="B218" t="s">
        <v>253</v>
      </c>
      <c r="C218">
        <v>1795</v>
      </c>
      <c r="D218" t="s">
        <v>34</v>
      </c>
      <c r="E218" t="s">
        <v>43</v>
      </c>
      <c r="F218">
        <v>5</v>
      </c>
      <c r="G218">
        <v>256</v>
      </c>
      <c r="H218">
        <v>0.18</v>
      </c>
      <c r="I218" t="s">
        <v>28</v>
      </c>
      <c r="J218">
        <v>10</v>
      </c>
      <c r="K218">
        <v>4.9000000000000004</v>
      </c>
      <c r="L218">
        <v>1049.5999999999999</v>
      </c>
    </row>
    <row r="219" spans="1:26">
      <c r="A219">
        <v>10218</v>
      </c>
      <c r="B219" t="s">
        <v>254</v>
      </c>
      <c r="C219">
        <v>1577</v>
      </c>
      <c r="D219" t="s">
        <v>13</v>
      </c>
      <c r="E219" t="s">
        <v>43</v>
      </c>
      <c r="F219">
        <v>3</v>
      </c>
      <c r="G219">
        <v>397.47</v>
      </c>
      <c r="H219">
        <v>0.13</v>
      </c>
      <c r="I219" t="s">
        <v>15</v>
      </c>
      <c r="J219">
        <v>10</v>
      </c>
      <c r="K219">
        <v>5</v>
      </c>
      <c r="L219">
        <v>1037.4000000000001</v>
      </c>
    </row>
    <row r="220" spans="1:26">
      <c r="A220">
        <v>10219</v>
      </c>
      <c r="B220" t="s">
        <v>255</v>
      </c>
      <c r="C220">
        <v>1681</v>
      </c>
      <c r="D220" t="s">
        <v>34</v>
      </c>
      <c r="E220" t="s">
        <v>43</v>
      </c>
      <c r="F220">
        <v>3</v>
      </c>
      <c r="G220">
        <v>597.11</v>
      </c>
      <c r="H220">
        <v>0.26</v>
      </c>
      <c r="I220" t="s">
        <v>31</v>
      </c>
      <c r="J220">
        <v>4</v>
      </c>
      <c r="K220">
        <v>5</v>
      </c>
      <c r="L220">
        <v>1325.58</v>
      </c>
    </row>
    <row r="221" spans="1:26">
      <c r="A221">
        <v>10220</v>
      </c>
      <c r="B221" t="s">
        <v>256</v>
      </c>
      <c r="C221">
        <v>1556</v>
      </c>
      <c r="D221" t="s">
        <v>13</v>
      </c>
      <c r="E221" t="s">
        <v>43</v>
      </c>
      <c r="F221">
        <v>7</v>
      </c>
      <c r="G221">
        <v>563.62</v>
      </c>
      <c r="H221">
        <v>0.31</v>
      </c>
      <c r="I221" t="s">
        <v>28</v>
      </c>
      <c r="J221">
        <v>2</v>
      </c>
      <c r="K221">
        <v>4.5999999999999996</v>
      </c>
      <c r="L221">
        <v>2722.28</v>
      </c>
    </row>
    <row r="222" spans="1:26">
      <c r="A222">
        <v>10221</v>
      </c>
      <c r="B222" t="s">
        <v>257</v>
      </c>
      <c r="C222">
        <v>1573</v>
      </c>
      <c r="D222" t="s">
        <v>13</v>
      </c>
      <c r="E222" t="s">
        <v>30</v>
      </c>
      <c r="F222">
        <v>3</v>
      </c>
      <c r="G222">
        <v>17.5</v>
      </c>
      <c r="H222">
        <v>0.31</v>
      </c>
      <c r="I222" t="s">
        <v>15</v>
      </c>
      <c r="J222">
        <v>9</v>
      </c>
      <c r="K222">
        <v>3.6</v>
      </c>
      <c r="L222">
        <v>36.22</v>
      </c>
    </row>
    <row r="223" spans="1:26">
      <c r="A223">
        <v>10222</v>
      </c>
      <c r="B223" t="s">
        <v>258</v>
      </c>
      <c r="C223">
        <v>1952</v>
      </c>
      <c r="D223" t="s">
        <v>55</v>
      </c>
      <c r="E223" t="s">
        <v>32</v>
      </c>
      <c r="F223">
        <v>2</v>
      </c>
      <c r="G223">
        <v>532.98</v>
      </c>
      <c r="H223">
        <v>0.08</v>
      </c>
      <c r="I223" t="s">
        <v>28</v>
      </c>
      <c r="J223">
        <v>11</v>
      </c>
      <c r="K223">
        <v>1</v>
      </c>
      <c r="L223">
        <v>980.68</v>
      </c>
    </row>
    <row r="224" spans="1:26">
      <c r="A224">
        <v>10223</v>
      </c>
      <c r="B224" t="s">
        <v>259</v>
      </c>
      <c r="C224">
        <v>1645</v>
      </c>
      <c r="D224" t="s">
        <v>13</v>
      </c>
      <c r="E224" t="s">
        <v>30</v>
      </c>
      <c r="F224">
        <v>3</v>
      </c>
      <c r="G224">
        <v>53.9</v>
      </c>
      <c r="H224">
        <v>0.31</v>
      </c>
      <c r="I224" t="s">
        <v>15</v>
      </c>
      <c r="J224">
        <v>3</v>
      </c>
      <c r="K224">
        <v>3.8</v>
      </c>
      <c r="L224">
        <v>111.57</v>
      </c>
    </row>
    <row r="225" spans="1:12">
      <c r="A225">
        <v>10224</v>
      </c>
      <c r="B225" t="s">
        <v>260</v>
      </c>
      <c r="C225">
        <v>1795</v>
      </c>
      <c r="D225" t="s">
        <v>27</v>
      </c>
      <c r="E225" t="s">
        <v>30</v>
      </c>
      <c r="F225">
        <v>3</v>
      </c>
      <c r="G225">
        <v>572.53</v>
      </c>
      <c r="H225">
        <v>0.12</v>
      </c>
      <c r="I225" t="s">
        <v>28</v>
      </c>
      <c r="J225">
        <v>11</v>
      </c>
      <c r="K225">
        <v>2</v>
      </c>
      <c r="L225">
        <v>1511.48</v>
      </c>
    </row>
    <row r="226" spans="1:12">
      <c r="A226">
        <v>10225</v>
      </c>
      <c r="B226" t="s">
        <v>261</v>
      </c>
      <c r="C226">
        <v>1027</v>
      </c>
      <c r="D226" t="s">
        <v>34</v>
      </c>
      <c r="E226" t="s">
        <v>30</v>
      </c>
      <c r="F226">
        <v>3</v>
      </c>
      <c r="G226">
        <v>179.87</v>
      </c>
      <c r="H226">
        <v>0.11</v>
      </c>
      <c r="I226" t="s">
        <v>28</v>
      </c>
      <c r="J226">
        <v>7</v>
      </c>
      <c r="K226">
        <v>1.2</v>
      </c>
      <c r="L226">
        <v>480.25</v>
      </c>
    </row>
    <row r="227" spans="1:12">
      <c r="A227">
        <v>10226</v>
      </c>
      <c r="B227" t="s">
        <v>262</v>
      </c>
      <c r="C227">
        <v>1619</v>
      </c>
      <c r="D227" t="s">
        <v>27</v>
      </c>
      <c r="E227" t="s">
        <v>32</v>
      </c>
      <c r="F227">
        <v>4</v>
      </c>
      <c r="G227">
        <v>238.49</v>
      </c>
      <c r="H227">
        <v>0.25</v>
      </c>
      <c r="I227" t="s">
        <v>31</v>
      </c>
      <c r="J227">
        <v>4</v>
      </c>
      <c r="K227">
        <v>3.8</v>
      </c>
      <c r="L227">
        <v>715.47</v>
      </c>
    </row>
    <row r="228" spans="1:12">
      <c r="A228">
        <v>10227</v>
      </c>
      <c r="B228" t="s">
        <v>263</v>
      </c>
      <c r="C228">
        <v>1555</v>
      </c>
      <c r="D228" t="s">
        <v>27</v>
      </c>
      <c r="E228" t="s">
        <v>30</v>
      </c>
      <c r="F228">
        <v>3</v>
      </c>
      <c r="G228">
        <v>68.61</v>
      </c>
      <c r="H228">
        <v>0.11</v>
      </c>
      <c r="I228" t="s">
        <v>15</v>
      </c>
      <c r="J228">
        <v>1</v>
      </c>
      <c r="K228">
        <v>4</v>
      </c>
      <c r="L228">
        <v>183.19</v>
      </c>
    </row>
    <row r="229" spans="1:12">
      <c r="A229">
        <v>10228</v>
      </c>
      <c r="B229" t="s">
        <v>264</v>
      </c>
      <c r="C229">
        <v>1339</v>
      </c>
      <c r="D229" t="s">
        <v>34</v>
      </c>
      <c r="E229" t="s">
        <v>30</v>
      </c>
      <c r="F229">
        <v>2</v>
      </c>
      <c r="G229">
        <v>80.680000000000007</v>
      </c>
      <c r="H229">
        <v>0.02</v>
      </c>
      <c r="I229" t="s">
        <v>15</v>
      </c>
      <c r="J229">
        <v>8</v>
      </c>
      <c r="K229">
        <v>3.6</v>
      </c>
      <c r="L229">
        <v>158.13</v>
      </c>
    </row>
    <row r="230" spans="1:12">
      <c r="A230">
        <v>10229</v>
      </c>
      <c r="B230" t="s">
        <v>265</v>
      </c>
      <c r="C230">
        <v>1797</v>
      </c>
      <c r="D230" t="s">
        <v>27</v>
      </c>
      <c r="E230" t="s">
        <v>32</v>
      </c>
      <c r="F230">
        <v>5</v>
      </c>
      <c r="G230">
        <v>440.14</v>
      </c>
      <c r="H230">
        <v>0.13</v>
      </c>
      <c r="I230" t="s">
        <v>31</v>
      </c>
      <c r="J230">
        <v>4</v>
      </c>
      <c r="K230">
        <v>2.5</v>
      </c>
      <c r="L230">
        <v>1914.61</v>
      </c>
    </row>
    <row r="231" spans="1:12">
      <c r="A231">
        <v>10230</v>
      </c>
      <c r="B231" t="s">
        <v>266</v>
      </c>
      <c r="C231">
        <v>1957</v>
      </c>
      <c r="D231" t="s">
        <v>13</v>
      </c>
      <c r="E231" t="s">
        <v>30</v>
      </c>
      <c r="F231">
        <v>4</v>
      </c>
      <c r="G231">
        <v>567.42999999999995</v>
      </c>
      <c r="H231">
        <v>0.25</v>
      </c>
      <c r="I231" t="s">
        <v>28</v>
      </c>
      <c r="J231">
        <v>11</v>
      </c>
      <c r="K231">
        <v>3</v>
      </c>
      <c r="L231">
        <v>1702.29</v>
      </c>
    </row>
    <row r="232" spans="1:12">
      <c r="A232">
        <v>10231</v>
      </c>
      <c r="B232" t="s">
        <v>267</v>
      </c>
      <c r="C232">
        <v>1330</v>
      </c>
      <c r="D232" t="s">
        <v>34</v>
      </c>
      <c r="E232" t="s">
        <v>43</v>
      </c>
      <c r="F232">
        <v>1</v>
      </c>
      <c r="G232">
        <v>372.29</v>
      </c>
      <c r="H232">
        <v>0.11</v>
      </c>
      <c r="I232" t="s">
        <v>28</v>
      </c>
      <c r="J232">
        <v>6</v>
      </c>
      <c r="K232">
        <v>4.7</v>
      </c>
      <c r="L232">
        <v>331.34</v>
      </c>
    </row>
    <row r="233" spans="1:12">
      <c r="A233">
        <v>10232</v>
      </c>
      <c r="B233" t="s">
        <v>268</v>
      </c>
      <c r="C233">
        <v>1639</v>
      </c>
      <c r="D233" t="s">
        <v>55</v>
      </c>
      <c r="E233" t="s">
        <v>14</v>
      </c>
      <c r="F233">
        <v>3</v>
      </c>
      <c r="G233">
        <v>433.77</v>
      </c>
      <c r="H233">
        <v>0.22</v>
      </c>
      <c r="I233" t="s">
        <v>15</v>
      </c>
      <c r="J233">
        <v>7</v>
      </c>
      <c r="K233">
        <v>3.9</v>
      </c>
      <c r="L233">
        <v>1015.02</v>
      </c>
    </row>
    <row r="234" spans="1:12">
      <c r="A234">
        <v>10233</v>
      </c>
      <c r="B234" t="s">
        <v>269</v>
      </c>
      <c r="C234">
        <v>1505</v>
      </c>
      <c r="D234" t="s">
        <v>13</v>
      </c>
      <c r="E234" t="s">
        <v>30</v>
      </c>
      <c r="F234">
        <v>7</v>
      </c>
      <c r="G234">
        <v>460.75</v>
      </c>
      <c r="H234">
        <v>0.23</v>
      </c>
      <c r="I234" t="s">
        <v>31</v>
      </c>
      <c r="J234">
        <v>8</v>
      </c>
      <c r="K234">
        <v>3</v>
      </c>
      <c r="L234">
        <v>2483.44</v>
      </c>
    </row>
    <row r="235" spans="1:12">
      <c r="A235">
        <v>10234</v>
      </c>
      <c r="B235" t="s">
        <v>270</v>
      </c>
      <c r="C235">
        <v>1347</v>
      </c>
      <c r="D235" t="s">
        <v>13</v>
      </c>
      <c r="E235" t="s">
        <v>14</v>
      </c>
      <c r="F235">
        <v>7</v>
      </c>
      <c r="G235">
        <v>168.75</v>
      </c>
      <c r="H235">
        <v>0.26</v>
      </c>
      <c r="I235" t="s">
        <v>31</v>
      </c>
      <c r="J235">
        <v>10</v>
      </c>
      <c r="K235">
        <v>3.4</v>
      </c>
      <c r="L235">
        <v>874.12</v>
      </c>
    </row>
    <row r="236" spans="1:12">
      <c r="A236">
        <v>10235</v>
      </c>
      <c r="B236" t="s">
        <v>271</v>
      </c>
      <c r="C236">
        <v>1472</v>
      </c>
      <c r="D236" t="s">
        <v>13</v>
      </c>
      <c r="E236" t="s">
        <v>30</v>
      </c>
      <c r="F236">
        <v>5</v>
      </c>
      <c r="G236">
        <v>41.46</v>
      </c>
      <c r="H236">
        <v>0.31</v>
      </c>
      <c r="I236" t="s">
        <v>28</v>
      </c>
      <c r="J236">
        <v>2</v>
      </c>
      <c r="K236">
        <v>4.7</v>
      </c>
      <c r="L236">
        <v>143.04</v>
      </c>
    </row>
    <row r="237" spans="1:12">
      <c r="A237">
        <v>10236</v>
      </c>
      <c r="B237" t="s">
        <v>272</v>
      </c>
      <c r="C237">
        <v>1230</v>
      </c>
      <c r="D237" t="s">
        <v>27</v>
      </c>
      <c r="E237" t="s">
        <v>30</v>
      </c>
      <c r="F237">
        <v>5</v>
      </c>
      <c r="G237">
        <v>16.100000000000001</v>
      </c>
      <c r="H237">
        <v>0.15</v>
      </c>
      <c r="I237" t="s">
        <v>31</v>
      </c>
      <c r="J237">
        <v>9</v>
      </c>
      <c r="K237">
        <v>2.6</v>
      </c>
      <c r="L237">
        <v>68.42</v>
      </c>
    </row>
    <row r="238" spans="1:12">
      <c r="A238">
        <v>10237</v>
      </c>
      <c r="B238" t="s">
        <v>273</v>
      </c>
      <c r="C238">
        <v>1189</v>
      </c>
      <c r="D238" t="s">
        <v>13</v>
      </c>
      <c r="E238" t="s">
        <v>43</v>
      </c>
      <c r="F238">
        <v>4</v>
      </c>
      <c r="G238">
        <v>220.13</v>
      </c>
      <c r="H238">
        <v>0.06</v>
      </c>
      <c r="I238" t="s">
        <v>28</v>
      </c>
      <c r="J238">
        <v>10</v>
      </c>
      <c r="K238">
        <v>1.4</v>
      </c>
      <c r="L238">
        <v>827.69</v>
      </c>
    </row>
    <row r="239" spans="1:12">
      <c r="A239">
        <v>10238</v>
      </c>
      <c r="B239" t="s">
        <v>274</v>
      </c>
      <c r="C239">
        <v>1224</v>
      </c>
      <c r="D239" t="s">
        <v>55</v>
      </c>
      <c r="E239" t="s">
        <v>32</v>
      </c>
      <c r="F239">
        <v>7</v>
      </c>
      <c r="G239">
        <v>156.26</v>
      </c>
      <c r="H239">
        <v>0.11</v>
      </c>
      <c r="I239" t="s">
        <v>31</v>
      </c>
      <c r="J239">
        <v>3</v>
      </c>
      <c r="K239">
        <v>2.2999999999999998</v>
      </c>
      <c r="L239">
        <v>973.5</v>
      </c>
    </row>
    <row r="240" spans="1:12">
      <c r="A240">
        <v>10239</v>
      </c>
      <c r="B240" t="s">
        <v>275</v>
      </c>
      <c r="C240">
        <v>1384</v>
      </c>
      <c r="D240" t="s">
        <v>34</v>
      </c>
      <c r="E240" t="s">
        <v>14</v>
      </c>
      <c r="F240">
        <v>1</v>
      </c>
      <c r="G240">
        <v>51.46</v>
      </c>
      <c r="H240">
        <v>0.15</v>
      </c>
      <c r="I240" t="s">
        <v>15</v>
      </c>
      <c r="J240">
        <v>1</v>
      </c>
      <c r="K240">
        <v>2.7</v>
      </c>
      <c r="L240">
        <v>43.74</v>
      </c>
    </row>
    <row r="241" spans="1:12">
      <c r="A241">
        <v>10240</v>
      </c>
      <c r="B241" t="s">
        <v>276</v>
      </c>
      <c r="C241">
        <v>1376</v>
      </c>
      <c r="D241" t="s">
        <v>27</v>
      </c>
      <c r="E241" t="s">
        <v>32</v>
      </c>
      <c r="F241">
        <v>6</v>
      </c>
      <c r="G241">
        <v>120.02</v>
      </c>
      <c r="H241">
        <v>0.25</v>
      </c>
      <c r="I241" t="s">
        <v>31</v>
      </c>
      <c r="J241">
        <v>2</v>
      </c>
      <c r="K241">
        <v>2.1</v>
      </c>
      <c r="L241">
        <v>540.09</v>
      </c>
    </row>
    <row r="242" spans="1:12">
      <c r="A242">
        <v>10241</v>
      </c>
      <c r="B242" t="s">
        <v>277</v>
      </c>
      <c r="C242">
        <v>1282</v>
      </c>
      <c r="D242" t="s">
        <v>55</v>
      </c>
      <c r="E242" t="s">
        <v>43</v>
      </c>
      <c r="F242">
        <v>7</v>
      </c>
      <c r="G242">
        <v>87.83</v>
      </c>
      <c r="H242">
        <v>0</v>
      </c>
      <c r="I242" t="s">
        <v>31</v>
      </c>
      <c r="J242">
        <v>8</v>
      </c>
      <c r="K242">
        <v>3.1</v>
      </c>
      <c r="L242">
        <v>614.80999999999995</v>
      </c>
    </row>
    <row r="243" spans="1:12">
      <c r="A243">
        <v>10242</v>
      </c>
      <c r="B243" t="s">
        <v>278</v>
      </c>
      <c r="C243">
        <v>1957</v>
      </c>
      <c r="D243" t="s">
        <v>34</v>
      </c>
      <c r="E243" t="s">
        <v>43</v>
      </c>
      <c r="F243">
        <v>7</v>
      </c>
      <c r="G243">
        <v>550.20000000000005</v>
      </c>
      <c r="H243">
        <v>0.11</v>
      </c>
      <c r="I243" t="s">
        <v>28</v>
      </c>
      <c r="J243">
        <v>10</v>
      </c>
      <c r="K243">
        <v>2.2000000000000002</v>
      </c>
      <c r="L243">
        <v>3427.75</v>
      </c>
    </row>
    <row r="244" spans="1:12">
      <c r="A244">
        <v>10243</v>
      </c>
      <c r="B244" t="s">
        <v>279</v>
      </c>
      <c r="C244">
        <v>1632</v>
      </c>
      <c r="D244" t="s">
        <v>27</v>
      </c>
      <c r="E244" t="s">
        <v>14</v>
      </c>
      <c r="F244">
        <v>2</v>
      </c>
      <c r="G244">
        <v>97.06</v>
      </c>
      <c r="H244">
        <v>0.27</v>
      </c>
      <c r="I244" t="s">
        <v>28</v>
      </c>
      <c r="J244">
        <v>6</v>
      </c>
      <c r="K244">
        <v>1.4</v>
      </c>
      <c r="L244">
        <v>141.71</v>
      </c>
    </row>
    <row r="245" spans="1:12">
      <c r="A245">
        <v>10244</v>
      </c>
      <c r="B245" t="s">
        <v>280</v>
      </c>
      <c r="C245">
        <v>1627</v>
      </c>
      <c r="D245" t="s">
        <v>55</v>
      </c>
      <c r="E245" t="s">
        <v>32</v>
      </c>
      <c r="F245">
        <v>6</v>
      </c>
      <c r="G245">
        <v>329.52</v>
      </c>
      <c r="H245">
        <v>0.23</v>
      </c>
      <c r="I245" t="s">
        <v>15</v>
      </c>
      <c r="J245">
        <v>11</v>
      </c>
      <c r="K245">
        <v>1.8</v>
      </c>
      <c r="L245">
        <v>1522.38</v>
      </c>
    </row>
    <row r="246" spans="1:12">
      <c r="A246">
        <v>10245</v>
      </c>
      <c r="B246" t="s">
        <v>281</v>
      </c>
      <c r="C246">
        <v>1972</v>
      </c>
      <c r="D246" t="s">
        <v>34</v>
      </c>
      <c r="E246" t="s">
        <v>43</v>
      </c>
      <c r="F246">
        <v>5</v>
      </c>
      <c r="G246">
        <v>361.97</v>
      </c>
      <c r="H246">
        <v>0.26</v>
      </c>
      <c r="I246" t="s">
        <v>28</v>
      </c>
      <c r="J246">
        <v>1</v>
      </c>
      <c r="K246">
        <v>4.7</v>
      </c>
      <c r="L246">
        <v>1339.29</v>
      </c>
    </row>
    <row r="247" spans="1:12">
      <c r="A247">
        <v>10246</v>
      </c>
      <c r="B247" t="s">
        <v>282</v>
      </c>
      <c r="C247">
        <v>1744</v>
      </c>
      <c r="D247" t="s">
        <v>27</v>
      </c>
      <c r="E247" t="s">
        <v>30</v>
      </c>
      <c r="F247">
        <v>6</v>
      </c>
      <c r="G247">
        <v>332.94</v>
      </c>
      <c r="H247">
        <v>0.28000000000000003</v>
      </c>
      <c r="I247" t="s">
        <v>15</v>
      </c>
      <c r="J247">
        <v>11</v>
      </c>
      <c r="K247">
        <v>3.5</v>
      </c>
      <c r="L247">
        <v>1438.3</v>
      </c>
    </row>
    <row r="248" spans="1:12">
      <c r="A248">
        <v>10247</v>
      </c>
      <c r="B248" t="s">
        <v>283</v>
      </c>
      <c r="C248">
        <v>1258</v>
      </c>
      <c r="D248" t="s">
        <v>55</v>
      </c>
      <c r="E248" t="s">
        <v>30</v>
      </c>
      <c r="F248">
        <v>7</v>
      </c>
      <c r="G248">
        <v>72.95</v>
      </c>
      <c r="H248">
        <v>0.27</v>
      </c>
      <c r="I248" t="s">
        <v>31</v>
      </c>
      <c r="J248">
        <v>9</v>
      </c>
      <c r="K248">
        <v>2.2999999999999998</v>
      </c>
      <c r="L248">
        <v>372.77</v>
      </c>
    </row>
    <row r="249" spans="1:12">
      <c r="A249">
        <v>10248</v>
      </c>
      <c r="B249" t="s">
        <v>284</v>
      </c>
      <c r="C249">
        <v>1358</v>
      </c>
      <c r="D249" t="s">
        <v>27</v>
      </c>
      <c r="E249" t="s">
        <v>30</v>
      </c>
      <c r="F249">
        <v>5</v>
      </c>
      <c r="G249">
        <v>201.5</v>
      </c>
      <c r="H249">
        <v>0.24</v>
      </c>
      <c r="I249" t="s">
        <v>31</v>
      </c>
      <c r="J249">
        <v>7</v>
      </c>
      <c r="K249">
        <v>2.5</v>
      </c>
      <c r="L249">
        <v>765.7</v>
      </c>
    </row>
    <row r="250" spans="1:12">
      <c r="A250">
        <v>10249</v>
      </c>
      <c r="B250" t="s">
        <v>285</v>
      </c>
      <c r="C250">
        <v>1709</v>
      </c>
      <c r="D250" t="s">
        <v>34</v>
      </c>
      <c r="E250" t="s">
        <v>32</v>
      </c>
      <c r="F250">
        <v>6</v>
      </c>
      <c r="G250">
        <v>44.99</v>
      </c>
      <c r="H250">
        <v>0.15</v>
      </c>
      <c r="I250" t="s">
        <v>15</v>
      </c>
      <c r="J250">
        <v>10</v>
      </c>
      <c r="K250">
        <v>3</v>
      </c>
      <c r="L250">
        <v>229.45</v>
      </c>
    </row>
    <row r="251" spans="1:12">
      <c r="A251">
        <v>10250</v>
      </c>
      <c r="B251" t="s">
        <v>286</v>
      </c>
      <c r="C251">
        <v>1455</v>
      </c>
      <c r="D251" t="s">
        <v>34</v>
      </c>
      <c r="E251" t="s">
        <v>30</v>
      </c>
      <c r="F251">
        <v>5</v>
      </c>
      <c r="G251">
        <v>246.47</v>
      </c>
      <c r="H251">
        <v>0.34</v>
      </c>
      <c r="I251" t="s">
        <v>31</v>
      </c>
      <c r="J251">
        <v>11</v>
      </c>
      <c r="K251">
        <v>3.7</v>
      </c>
      <c r="L251">
        <v>813.35</v>
      </c>
    </row>
    <row r="252" spans="1:12">
      <c r="A252">
        <v>10251</v>
      </c>
      <c r="B252" t="s">
        <v>287</v>
      </c>
      <c r="C252">
        <v>1410</v>
      </c>
      <c r="D252" t="s">
        <v>27</v>
      </c>
      <c r="E252" t="s">
        <v>30</v>
      </c>
      <c r="F252">
        <v>5</v>
      </c>
      <c r="G252">
        <v>125.33</v>
      </c>
      <c r="H252">
        <v>0.2</v>
      </c>
      <c r="I252" t="s">
        <v>15</v>
      </c>
      <c r="J252">
        <v>3</v>
      </c>
      <c r="K252">
        <v>3.3</v>
      </c>
      <c r="L252">
        <v>800.84</v>
      </c>
    </row>
    <row r="253" spans="1:12">
      <c r="A253">
        <v>10252</v>
      </c>
      <c r="B253" t="s">
        <v>288</v>
      </c>
      <c r="C253">
        <v>1648</v>
      </c>
      <c r="D253" t="s">
        <v>13</v>
      </c>
      <c r="E253" t="s">
        <v>43</v>
      </c>
      <c r="F253">
        <v>4</v>
      </c>
      <c r="G253">
        <v>343.56</v>
      </c>
      <c r="H253">
        <v>7.0000000000000007E-2</v>
      </c>
      <c r="I253" t="s">
        <v>28</v>
      </c>
      <c r="J253">
        <v>7</v>
      </c>
      <c r="K253">
        <v>4.7</v>
      </c>
      <c r="L253">
        <v>1278.04</v>
      </c>
    </row>
    <row r="254" spans="1:12">
      <c r="A254">
        <v>10253</v>
      </c>
      <c r="B254" t="s">
        <v>289</v>
      </c>
      <c r="C254">
        <v>1317</v>
      </c>
      <c r="D254" t="s">
        <v>34</v>
      </c>
      <c r="E254" t="s">
        <v>43</v>
      </c>
      <c r="F254">
        <v>1</v>
      </c>
      <c r="G254">
        <v>420.29</v>
      </c>
      <c r="H254">
        <v>0.1</v>
      </c>
      <c r="I254" t="s">
        <v>31</v>
      </c>
      <c r="J254">
        <v>6</v>
      </c>
      <c r="K254">
        <v>3.5</v>
      </c>
      <c r="L254">
        <v>378.26</v>
      </c>
    </row>
    <row r="255" spans="1:12">
      <c r="A255">
        <v>10254</v>
      </c>
      <c r="B255" t="s">
        <v>290</v>
      </c>
      <c r="C255">
        <v>1676</v>
      </c>
      <c r="D255" t="s">
        <v>27</v>
      </c>
      <c r="E255" t="s">
        <v>30</v>
      </c>
      <c r="F255">
        <v>5</v>
      </c>
      <c r="G255">
        <v>326.29000000000002</v>
      </c>
      <c r="H255">
        <v>0.24</v>
      </c>
      <c r="I255" t="s">
        <v>31</v>
      </c>
      <c r="J255">
        <v>3</v>
      </c>
      <c r="K255">
        <v>4.5999999999999996</v>
      </c>
      <c r="L255">
        <v>1239.9000000000001</v>
      </c>
    </row>
    <row r="256" spans="1:12">
      <c r="A256">
        <v>10255</v>
      </c>
      <c r="B256" t="s">
        <v>291</v>
      </c>
      <c r="C256">
        <v>1224</v>
      </c>
      <c r="D256" t="s">
        <v>34</v>
      </c>
      <c r="E256" t="s">
        <v>30</v>
      </c>
      <c r="F256">
        <v>2</v>
      </c>
      <c r="G256">
        <v>269.02999999999997</v>
      </c>
      <c r="H256">
        <v>0.32</v>
      </c>
      <c r="I256" t="s">
        <v>28</v>
      </c>
      <c r="J256">
        <v>8</v>
      </c>
      <c r="K256">
        <v>1</v>
      </c>
      <c r="L256">
        <v>365.88</v>
      </c>
    </row>
    <row r="257" spans="1:12">
      <c r="A257">
        <v>10256</v>
      </c>
      <c r="B257" t="s">
        <v>292</v>
      </c>
      <c r="C257">
        <v>1818</v>
      </c>
      <c r="D257" t="s">
        <v>34</v>
      </c>
      <c r="E257" t="s">
        <v>43</v>
      </c>
      <c r="F257">
        <v>7</v>
      </c>
      <c r="G257">
        <v>241.59</v>
      </c>
      <c r="H257">
        <v>0.06</v>
      </c>
      <c r="I257" t="s">
        <v>31</v>
      </c>
      <c r="J257">
        <v>1</v>
      </c>
      <c r="K257">
        <v>4.5999999999999996</v>
      </c>
      <c r="L257">
        <v>1589.66</v>
      </c>
    </row>
    <row r="258" spans="1:12">
      <c r="A258">
        <v>10257</v>
      </c>
      <c r="B258" t="s">
        <v>293</v>
      </c>
      <c r="C258">
        <v>1233</v>
      </c>
      <c r="D258" t="s">
        <v>55</v>
      </c>
      <c r="E258" t="s">
        <v>14</v>
      </c>
      <c r="F258">
        <v>7</v>
      </c>
      <c r="G258">
        <v>507.39</v>
      </c>
      <c r="H258">
        <v>0.03</v>
      </c>
      <c r="I258" t="s">
        <v>31</v>
      </c>
      <c r="J258">
        <v>5</v>
      </c>
      <c r="K258">
        <v>3.9</v>
      </c>
      <c r="L258">
        <v>3445.18</v>
      </c>
    </row>
    <row r="259" spans="1:12">
      <c r="A259">
        <v>10258</v>
      </c>
      <c r="B259" t="s">
        <v>294</v>
      </c>
      <c r="C259">
        <v>1683</v>
      </c>
      <c r="D259" t="s">
        <v>55</v>
      </c>
      <c r="E259" t="s">
        <v>32</v>
      </c>
      <c r="F259">
        <v>2</v>
      </c>
      <c r="G259">
        <v>143.33000000000001</v>
      </c>
      <c r="H259">
        <v>0.31</v>
      </c>
      <c r="I259" t="s">
        <v>15</v>
      </c>
      <c r="J259">
        <v>8</v>
      </c>
      <c r="K259">
        <v>1.7</v>
      </c>
      <c r="L259">
        <v>197.8</v>
      </c>
    </row>
    <row r="260" spans="1:12">
      <c r="A260">
        <v>10259</v>
      </c>
      <c r="B260" t="s">
        <v>295</v>
      </c>
      <c r="C260">
        <v>1663</v>
      </c>
      <c r="D260" t="s">
        <v>34</v>
      </c>
      <c r="E260" t="s">
        <v>32</v>
      </c>
      <c r="F260">
        <v>3</v>
      </c>
      <c r="G260">
        <v>444.52</v>
      </c>
      <c r="H260">
        <v>0.32</v>
      </c>
      <c r="I260" t="s">
        <v>28</v>
      </c>
      <c r="J260">
        <v>3</v>
      </c>
      <c r="K260">
        <v>2.1</v>
      </c>
      <c r="L260">
        <v>906.82</v>
      </c>
    </row>
    <row r="261" spans="1:12">
      <c r="A261">
        <v>10260</v>
      </c>
      <c r="B261" t="s">
        <v>296</v>
      </c>
      <c r="C261">
        <v>1974</v>
      </c>
      <c r="D261" t="s">
        <v>27</v>
      </c>
      <c r="E261" t="s">
        <v>43</v>
      </c>
      <c r="F261">
        <v>5</v>
      </c>
      <c r="G261">
        <v>458.13</v>
      </c>
      <c r="H261">
        <v>0.1</v>
      </c>
      <c r="I261" t="s">
        <v>31</v>
      </c>
      <c r="J261">
        <v>11</v>
      </c>
      <c r="K261">
        <v>3.2</v>
      </c>
      <c r="L261">
        <v>2061.58</v>
      </c>
    </row>
    <row r="262" spans="1:12">
      <c r="A262">
        <v>10261</v>
      </c>
      <c r="B262" t="s">
        <v>297</v>
      </c>
      <c r="C262">
        <v>1826</v>
      </c>
      <c r="D262" t="s">
        <v>34</v>
      </c>
      <c r="E262" t="s">
        <v>32</v>
      </c>
      <c r="F262">
        <v>5</v>
      </c>
      <c r="G262">
        <v>260.23</v>
      </c>
      <c r="H262">
        <v>0.13</v>
      </c>
      <c r="I262" t="s">
        <v>28</v>
      </c>
      <c r="J262">
        <v>10</v>
      </c>
      <c r="K262">
        <v>1.5</v>
      </c>
      <c r="L262">
        <v>1132</v>
      </c>
    </row>
    <row r="263" spans="1:12">
      <c r="A263">
        <v>10262</v>
      </c>
      <c r="B263" t="s">
        <v>298</v>
      </c>
      <c r="C263">
        <v>1373</v>
      </c>
      <c r="D263" t="s">
        <v>27</v>
      </c>
      <c r="E263" t="s">
        <v>43</v>
      </c>
      <c r="F263">
        <v>5</v>
      </c>
      <c r="G263">
        <v>188.92</v>
      </c>
      <c r="H263">
        <v>0.23</v>
      </c>
      <c r="I263" t="s">
        <v>31</v>
      </c>
      <c r="J263">
        <v>11</v>
      </c>
      <c r="K263">
        <v>4.0999999999999996</v>
      </c>
      <c r="L263">
        <v>727.34</v>
      </c>
    </row>
    <row r="264" spans="1:12">
      <c r="A264">
        <v>10263</v>
      </c>
      <c r="B264" t="s">
        <v>299</v>
      </c>
      <c r="C264">
        <v>1671</v>
      </c>
      <c r="D264" t="s">
        <v>55</v>
      </c>
      <c r="E264" t="s">
        <v>43</v>
      </c>
      <c r="F264">
        <v>6</v>
      </c>
      <c r="G264">
        <v>290.27</v>
      </c>
      <c r="H264">
        <v>0.12</v>
      </c>
      <c r="I264" t="s">
        <v>31</v>
      </c>
      <c r="J264">
        <v>6</v>
      </c>
      <c r="K264">
        <v>4.2</v>
      </c>
      <c r="L264">
        <v>1532.63</v>
      </c>
    </row>
    <row r="265" spans="1:12">
      <c r="A265">
        <v>10264</v>
      </c>
      <c r="B265" t="s">
        <v>300</v>
      </c>
      <c r="C265">
        <v>1607</v>
      </c>
      <c r="D265" t="s">
        <v>34</v>
      </c>
      <c r="E265" t="s">
        <v>43</v>
      </c>
      <c r="F265">
        <v>5</v>
      </c>
      <c r="G265">
        <v>69.53</v>
      </c>
      <c r="H265">
        <v>0.31</v>
      </c>
      <c r="I265" t="s">
        <v>31</v>
      </c>
      <c r="J265">
        <v>10</v>
      </c>
      <c r="K265">
        <v>2.2000000000000002</v>
      </c>
      <c r="L265">
        <v>239.88</v>
      </c>
    </row>
    <row r="266" spans="1:12">
      <c r="A266">
        <v>10265</v>
      </c>
      <c r="B266" t="s">
        <v>301</v>
      </c>
      <c r="C266">
        <v>1471</v>
      </c>
      <c r="D266" t="s">
        <v>34</v>
      </c>
      <c r="E266" t="s">
        <v>43</v>
      </c>
      <c r="F266">
        <v>5</v>
      </c>
      <c r="G266">
        <v>41.87</v>
      </c>
      <c r="H266">
        <v>0.04</v>
      </c>
      <c r="I266" t="s">
        <v>28</v>
      </c>
      <c r="J266">
        <v>11</v>
      </c>
      <c r="K266">
        <v>1.3</v>
      </c>
      <c r="L266">
        <v>200.98</v>
      </c>
    </row>
    <row r="267" spans="1:12">
      <c r="A267">
        <v>10266</v>
      </c>
      <c r="B267" t="s">
        <v>302</v>
      </c>
      <c r="C267">
        <v>1232</v>
      </c>
      <c r="D267" t="s">
        <v>27</v>
      </c>
      <c r="E267" t="s">
        <v>14</v>
      </c>
      <c r="F267">
        <v>2</v>
      </c>
      <c r="G267">
        <v>80.290000000000006</v>
      </c>
      <c r="H267">
        <v>0.01</v>
      </c>
      <c r="I267" t="s">
        <v>28</v>
      </c>
      <c r="J267">
        <v>2</v>
      </c>
      <c r="K267">
        <v>5</v>
      </c>
      <c r="L267">
        <v>158.97</v>
      </c>
    </row>
    <row r="268" spans="1:12">
      <c r="A268">
        <v>10267</v>
      </c>
      <c r="B268" t="s">
        <v>303</v>
      </c>
      <c r="C268">
        <v>1691</v>
      </c>
      <c r="D268" t="s">
        <v>13</v>
      </c>
      <c r="E268" t="s">
        <v>30</v>
      </c>
      <c r="F268">
        <v>1</v>
      </c>
      <c r="G268">
        <v>124.48</v>
      </c>
      <c r="H268">
        <v>7.0000000000000007E-2</v>
      </c>
      <c r="I268" t="s">
        <v>28</v>
      </c>
      <c r="J268">
        <v>9</v>
      </c>
      <c r="K268">
        <v>2</v>
      </c>
      <c r="L268">
        <v>115.77</v>
      </c>
    </row>
    <row r="269" spans="1:12">
      <c r="A269">
        <v>10268</v>
      </c>
      <c r="B269" t="s">
        <v>304</v>
      </c>
      <c r="C269">
        <v>1112</v>
      </c>
      <c r="D269" t="s">
        <v>13</v>
      </c>
      <c r="E269" t="s">
        <v>30</v>
      </c>
      <c r="F269">
        <v>1</v>
      </c>
      <c r="G269">
        <v>309.94</v>
      </c>
      <c r="H269">
        <v>0.1</v>
      </c>
      <c r="I269" t="s">
        <v>28</v>
      </c>
      <c r="J269">
        <v>2</v>
      </c>
      <c r="K269">
        <v>1.3</v>
      </c>
      <c r="L269">
        <v>278.95</v>
      </c>
    </row>
    <row r="270" spans="1:12">
      <c r="A270">
        <v>10269</v>
      </c>
      <c r="B270" t="s">
        <v>305</v>
      </c>
      <c r="C270">
        <v>1829</v>
      </c>
      <c r="D270" t="s">
        <v>34</v>
      </c>
      <c r="E270" t="s">
        <v>14</v>
      </c>
      <c r="F270">
        <v>3</v>
      </c>
      <c r="G270">
        <v>511.74</v>
      </c>
      <c r="H270">
        <v>0.04</v>
      </c>
      <c r="I270" t="s">
        <v>31</v>
      </c>
      <c r="J270">
        <v>5</v>
      </c>
      <c r="K270">
        <v>2.2999999999999998</v>
      </c>
      <c r="L270">
        <v>1473.81</v>
      </c>
    </row>
    <row r="271" spans="1:12">
      <c r="A271">
        <v>10270</v>
      </c>
      <c r="B271" t="s">
        <v>306</v>
      </c>
      <c r="C271">
        <v>1496</v>
      </c>
      <c r="D271" t="s">
        <v>55</v>
      </c>
      <c r="E271" t="s">
        <v>32</v>
      </c>
      <c r="F271">
        <v>2</v>
      </c>
      <c r="G271">
        <v>152.85</v>
      </c>
      <c r="H271">
        <v>0.02</v>
      </c>
      <c r="I271" t="s">
        <v>15</v>
      </c>
      <c r="J271">
        <v>3</v>
      </c>
      <c r="K271">
        <v>4.9000000000000004</v>
      </c>
      <c r="L271">
        <v>299.58999999999997</v>
      </c>
    </row>
    <row r="272" spans="1:12">
      <c r="A272">
        <v>10271</v>
      </c>
      <c r="B272" t="s">
        <v>307</v>
      </c>
      <c r="C272">
        <v>1441</v>
      </c>
      <c r="D272" t="s">
        <v>27</v>
      </c>
      <c r="E272" t="s">
        <v>32</v>
      </c>
      <c r="F272">
        <v>5</v>
      </c>
      <c r="G272">
        <v>562.07000000000005</v>
      </c>
      <c r="H272">
        <v>0.26</v>
      </c>
      <c r="I272" t="s">
        <v>28</v>
      </c>
      <c r="J272">
        <v>10</v>
      </c>
      <c r="K272">
        <v>4.2</v>
      </c>
      <c r="L272">
        <v>2079.66</v>
      </c>
    </row>
    <row r="273" spans="1:12">
      <c r="A273">
        <v>10272</v>
      </c>
      <c r="B273" t="s">
        <v>308</v>
      </c>
      <c r="C273">
        <v>1563</v>
      </c>
      <c r="D273" t="s">
        <v>27</v>
      </c>
      <c r="E273" t="s">
        <v>30</v>
      </c>
      <c r="F273">
        <v>1</v>
      </c>
      <c r="G273">
        <v>573.62</v>
      </c>
      <c r="H273">
        <v>0.06</v>
      </c>
      <c r="I273" t="s">
        <v>28</v>
      </c>
      <c r="J273">
        <v>9</v>
      </c>
      <c r="K273">
        <v>2.9</v>
      </c>
      <c r="L273">
        <v>539.20000000000005</v>
      </c>
    </row>
    <row r="274" spans="1:12">
      <c r="A274">
        <v>10273</v>
      </c>
      <c r="B274" t="s">
        <v>309</v>
      </c>
      <c r="C274">
        <v>1267</v>
      </c>
      <c r="D274" t="s">
        <v>55</v>
      </c>
      <c r="E274" t="s">
        <v>32</v>
      </c>
      <c r="F274">
        <v>4</v>
      </c>
      <c r="G274">
        <v>575.96</v>
      </c>
      <c r="H274">
        <v>0.32</v>
      </c>
      <c r="I274" t="s">
        <v>31</v>
      </c>
      <c r="J274">
        <v>9</v>
      </c>
      <c r="K274">
        <v>2.2000000000000002</v>
      </c>
      <c r="L274">
        <v>1566.61</v>
      </c>
    </row>
    <row r="275" spans="1:12">
      <c r="A275">
        <v>10274</v>
      </c>
      <c r="B275" t="s">
        <v>310</v>
      </c>
      <c r="C275">
        <v>1509</v>
      </c>
      <c r="D275" t="s">
        <v>13</v>
      </c>
      <c r="E275" t="s">
        <v>30</v>
      </c>
      <c r="F275">
        <v>4</v>
      </c>
      <c r="G275">
        <v>504.97</v>
      </c>
      <c r="H275">
        <v>0.13</v>
      </c>
      <c r="I275" t="s">
        <v>31</v>
      </c>
      <c r="J275">
        <v>7</v>
      </c>
      <c r="K275">
        <v>2.7</v>
      </c>
      <c r="L275">
        <v>1757.3</v>
      </c>
    </row>
    <row r="276" spans="1:12">
      <c r="A276">
        <v>10275</v>
      </c>
      <c r="B276" t="s">
        <v>311</v>
      </c>
      <c r="C276">
        <v>1806</v>
      </c>
      <c r="D276" t="s">
        <v>13</v>
      </c>
      <c r="E276" t="s">
        <v>30</v>
      </c>
      <c r="F276">
        <v>4</v>
      </c>
      <c r="G276">
        <v>227.84</v>
      </c>
      <c r="H276">
        <v>0.23</v>
      </c>
      <c r="I276" t="s">
        <v>28</v>
      </c>
      <c r="J276">
        <v>10</v>
      </c>
      <c r="K276">
        <v>1.1000000000000001</v>
      </c>
      <c r="L276">
        <v>701.75</v>
      </c>
    </row>
    <row r="277" spans="1:12">
      <c r="A277">
        <v>10276</v>
      </c>
      <c r="B277" t="s">
        <v>312</v>
      </c>
      <c r="C277">
        <v>1385</v>
      </c>
      <c r="D277" t="s">
        <v>27</v>
      </c>
      <c r="E277" t="s">
        <v>14</v>
      </c>
      <c r="F277">
        <v>5</v>
      </c>
      <c r="G277">
        <v>57.52</v>
      </c>
      <c r="H277">
        <v>0.08</v>
      </c>
      <c r="I277" t="s">
        <v>28</v>
      </c>
      <c r="J277">
        <v>5</v>
      </c>
      <c r="K277">
        <v>3.9</v>
      </c>
      <c r="L277">
        <v>264.58999999999997</v>
      </c>
    </row>
    <row r="278" spans="1:12">
      <c r="A278">
        <v>10277</v>
      </c>
      <c r="B278" t="s">
        <v>313</v>
      </c>
      <c r="C278">
        <v>1386</v>
      </c>
      <c r="D278" t="s">
        <v>27</v>
      </c>
      <c r="E278" t="s">
        <v>32</v>
      </c>
      <c r="F278">
        <v>5</v>
      </c>
      <c r="G278">
        <v>347.76</v>
      </c>
      <c r="H278">
        <v>0.08</v>
      </c>
      <c r="I278" t="s">
        <v>28</v>
      </c>
      <c r="J278">
        <v>9</v>
      </c>
      <c r="K278">
        <v>1.4</v>
      </c>
      <c r="L278">
        <v>1599.7</v>
      </c>
    </row>
    <row r="279" spans="1:12">
      <c r="A279">
        <v>10278</v>
      </c>
      <c r="B279" t="s">
        <v>314</v>
      </c>
      <c r="C279">
        <v>1112</v>
      </c>
      <c r="D279" t="s">
        <v>55</v>
      </c>
      <c r="E279" t="s">
        <v>14</v>
      </c>
      <c r="F279">
        <v>3</v>
      </c>
      <c r="G279">
        <v>341.83</v>
      </c>
      <c r="H279">
        <v>0.2</v>
      </c>
      <c r="I279" t="s">
        <v>28</v>
      </c>
      <c r="J279">
        <v>7</v>
      </c>
      <c r="K279">
        <v>3.1</v>
      </c>
      <c r="L279">
        <v>820.39</v>
      </c>
    </row>
    <row r="280" spans="1:12">
      <c r="A280">
        <v>10279</v>
      </c>
      <c r="B280" t="s">
        <v>315</v>
      </c>
      <c r="C280">
        <v>1612</v>
      </c>
      <c r="D280" t="s">
        <v>34</v>
      </c>
      <c r="E280" t="s">
        <v>30</v>
      </c>
      <c r="F280">
        <v>7</v>
      </c>
      <c r="G280">
        <v>512.24</v>
      </c>
      <c r="H280">
        <v>0.2</v>
      </c>
      <c r="I280" t="s">
        <v>28</v>
      </c>
      <c r="J280">
        <v>2</v>
      </c>
      <c r="K280">
        <v>3.3</v>
      </c>
      <c r="L280">
        <v>2868.54</v>
      </c>
    </row>
    <row r="281" spans="1:12">
      <c r="A281">
        <v>10280</v>
      </c>
      <c r="B281" t="s">
        <v>316</v>
      </c>
      <c r="C281">
        <v>1624</v>
      </c>
      <c r="D281" t="s">
        <v>27</v>
      </c>
      <c r="E281" t="s">
        <v>30</v>
      </c>
      <c r="F281">
        <v>3</v>
      </c>
      <c r="G281">
        <v>597.65</v>
      </c>
      <c r="H281">
        <v>0.27</v>
      </c>
      <c r="I281" t="s">
        <v>28</v>
      </c>
      <c r="J281">
        <v>10</v>
      </c>
      <c r="K281">
        <v>1</v>
      </c>
      <c r="L281">
        <v>1308.8499999999999</v>
      </c>
    </row>
    <row r="282" spans="1:12">
      <c r="A282">
        <v>10281</v>
      </c>
      <c r="B282" t="s">
        <v>317</v>
      </c>
      <c r="C282">
        <v>1951</v>
      </c>
      <c r="D282" t="s">
        <v>27</v>
      </c>
      <c r="E282" t="s">
        <v>30</v>
      </c>
      <c r="F282">
        <v>3</v>
      </c>
      <c r="G282">
        <v>312.27</v>
      </c>
      <c r="H282">
        <v>0.27</v>
      </c>
      <c r="I282" t="s">
        <v>31</v>
      </c>
      <c r="J282">
        <v>1</v>
      </c>
      <c r="K282">
        <v>4.9000000000000004</v>
      </c>
      <c r="L282">
        <v>683.87</v>
      </c>
    </row>
    <row r="283" spans="1:12">
      <c r="A283">
        <v>10282</v>
      </c>
      <c r="B283" t="s">
        <v>318</v>
      </c>
      <c r="C283">
        <v>1080</v>
      </c>
      <c r="D283" t="s">
        <v>55</v>
      </c>
      <c r="E283" t="s">
        <v>43</v>
      </c>
      <c r="F283">
        <v>6</v>
      </c>
      <c r="G283">
        <v>216.94</v>
      </c>
      <c r="H283">
        <v>0.23</v>
      </c>
      <c r="I283" t="s">
        <v>31</v>
      </c>
      <c r="J283">
        <v>10</v>
      </c>
      <c r="K283">
        <v>2.2000000000000002</v>
      </c>
      <c r="L283">
        <v>1002.26</v>
      </c>
    </row>
    <row r="284" spans="1:12">
      <c r="A284">
        <v>10283</v>
      </c>
      <c r="B284" t="s">
        <v>319</v>
      </c>
      <c r="C284">
        <v>1698</v>
      </c>
      <c r="D284" t="s">
        <v>34</v>
      </c>
      <c r="E284" t="s">
        <v>43</v>
      </c>
      <c r="F284">
        <v>4</v>
      </c>
      <c r="G284">
        <v>123.75</v>
      </c>
      <c r="H284">
        <v>0.16</v>
      </c>
      <c r="I284" t="s">
        <v>28</v>
      </c>
      <c r="J284">
        <v>10</v>
      </c>
      <c r="K284">
        <v>1.3</v>
      </c>
      <c r="L284">
        <v>415.8</v>
      </c>
    </row>
    <row r="285" spans="1:12">
      <c r="A285">
        <v>10284</v>
      </c>
      <c r="B285" t="s">
        <v>320</v>
      </c>
      <c r="C285">
        <v>1112</v>
      </c>
      <c r="D285" t="s">
        <v>34</v>
      </c>
      <c r="E285" t="s">
        <v>43</v>
      </c>
      <c r="F285">
        <v>5</v>
      </c>
      <c r="G285">
        <v>17.809999999999999</v>
      </c>
      <c r="H285">
        <v>0.31</v>
      </c>
      <c r="I285" t="s">
        <v>31</v>
      </c>
      <c r="J285">
        <v>4</v>
      </c>
      <c r="K285">
        <v>4.4000000000000004</v>
      </c>
      <c r="L285">
        <v>61.44</v>
      </c>
    </row>
    <row r="286" spans="1:12">
      <c r="A286">
        <v>10285</v>
      </c>
      <c r="B286" t="s">
        <v>321</v>
      </c>
      <c r="C286">
        <v>1001</v>
      </c>
      <c r="D286" t="s">
        <v>13</v>
      </c>
      <c r="E286" t="s">
        <v>14</v>
      </c>
      <c r="F286">
        <v>4</v>
      </c>
      <c r="G286">
        <v>312.83</v>
      </c>
      <c r="H286">
        <v>0.22</v>
      </c>
      <c r="I286" t="s">
        <v>31</v>
      </c>
      <c r="J286">
        <v>10</v>
      </c>
      <c r="K286">
        <v>1.6</v>
      </c>
      <c r="L286">
        <v>976.03</v>
      </c>
    </row>
    <row r="287" spans="1:12">
      <c r="A287">
        <v>10286</v>
      </c>
      <c r="B287" t="s">
        <v>322</v>
      </c>
      <c r="C287">
        <v>1641</v>
      </c>
      <c r="D287" t="s">
        <v>34</v>
      </c>
      <c r="E287" t="s">
        <v>30</v>
      </c>
      <c r="F287">
        <v>3</v>
      </c>
      <c r="G287">
        <v>339.98</v>
      </c>
      <c r="H287">
        <v>0.35</v>
      </c>
      <c r="I287" t="s">
        <v>15</v>
      </c>
      <c r="J287">
        <v>8</v>
      </c>
      <c r="K287">
        <v>1.1000000000000001</v>
      </c>
      <c r="L287">
        <v>662.96</v>
      </c>
    </row>
    <row r="288" spans="1:12">
      <c r="A288">
        <v>10287</v>
      </c>
      <c r="B288" t="s">
        <v>323</v>
      </c>
      <c r="C288">
        <v>1219</v>
      </c>
      <c r="D288" t="s">
        <v>27</v>
      </c>
      <c r="E288" t="s">
        <v>32</v>
      </c>
      <c r="F288">
        <v>5</v>
      </c>
      <c r="G288">
        <v>497.59</v>
      </c>
      <c r="H288">
        <v>0.28999999999999998</v>
      </c>
      <c r="I288" t="s">
        <v>28</v>
      </c>
      <c r="J288">
        <v>6</v>
      </c>
      <c r="K288">
        <v>3</v>
      </c>
      <c r="L288">
        <v>1766.44</v>
      </c>
    </row>
    <row r="289" spans="1:12">
      <c r="A289">
        <v>10288</v>
      </c>
      <c r="B289" t="s">
        <v>324</v>
      </c>
      <c r="C289">
        <v>1565</v>
      </c>
      <c r="D289" t="s">
        <v>34</v>
      </c>
      <c r="E289" t="s">
        <v>14</v>
      </c>
      <c r="F289">
        <v>2</v>
      </c>
      <c r="G289">
        <v>310.18</v>
      </c>
      <c r="H289">
        <v>0.02</v>
      </c>
      <c r="I289" t="s">
        <v>31</v>
      </c>
      <c r="J289">
        <v>2</v>
      </c>
      <c r="K289">
        <v>1.5</v>
      </c>
      <c r="L289">
        <v>607.95000000000005</v>
      </c>
    </row>
    <row r="290" spans="1:12">
      <c r="A290">
        <v>10289</v>
      </c>
      <c r="B290" t="s">
        <v>325</v>
      </c>
      <c r="C290">
        <v>1854</v>
      </c>
      <c r="D290" t="s">
        <v>34</v>
      </c>
      <c r="E290" t="s">
        <v>14</v>
      </c>
      <c r="F290">
        <v>1</v>
      </c>
      <c r="G290">
        <v>551.13</v>
      </c>
      <c r="H290">
        <v>0.11</v>
      </c>
      <c r="I290" t="s">
        <v>31</v>
      </c>
      <c r="J290">
        <v>5</v>
      </c>
      <c r="K290">
        <v>4.9000000000000004</v>
      </c>
      <c r="L290">
        <v>490.51</v>
      </c>
    </row>
    <row r="291" spans="1:12">
      <c r="A291">
        <v>10290</v>
      </c>
      <c r="B291" t="s">
        <v>326</v>
      </c>
      <c r="C291">
        <v>1996</v>
      </c>
      <c r="D291" t="s">
        <v>34</v>
      </c>
      <c r="E291" t="s">
        <v>14</v>
      </c>
      <c r="F291">
        <v>1</v>
      </c>
      <c r="G291">
        <v>382.43</v>
      </c>
      <c r="H291">
        <v>0.2</v>
      </c>
      <c r="I291" t="s">
        <v>28</v>
      </c>
      <c r="J291">
        <v>9</v>
      </c>
      <c r="K291">
        <v>1</v>
      </c>
      <c r="L291">
        <v>305.94</v>
      </c>
    </row>
    <row r="292" spans="1:12">
      <c r="A292">
        <v>10291</v>
      </c>
      <c r="B292" t="s">
        <v>327</v>
      </c>
      <c r="C292">
        <v>1735</v>
      </c>
      <c r="D292" t="s">
        <v>34</v>
      </c>
      <c r="E292" t="s">
        <v>32</v>
      </c>
      <c r="F292">
        <v>3</v>
      </c>
      <c r="G292">
        <v>506.6</v>
      </c>
      <c r="H292">
        <v>0.25</v>
      </c>
      <c r="I292" t="s">
        <v>15</v>
      </c>
      <c r="J292">
        <v>6</v>
      </c>
      <c r="K292">
        <v>1.2</v>
      </c>
      <c r="L292">
        <v>1139.8499999999999</v>
      </c>
    </row>
    <row r="293" spans="1:12">
      <c r="A293">
        <v>10292</v>
      </c>
      <c r="B293" t="s">
        <v>328</v>
      </c>
      <c r="C293">
        <v>1224</v>
      </c>
      <c r="D293" t="s">
        <v>13</v>
      </c>
      <c r="E293" t="s">
        <v>30</v>
      </c>
      <c r="F293">
        <v>7</v>
      </c>
      <c r="G293">
        <v>101.76</v>
      </c>
      <c r="H293">
        <v>0.19</v>
      </c>
      <c r="I293" t="s">
        <v>31</v>
      </c>
      <c r="J293">
        <v>6</v>
      </c>
      <c r="K293">
        <v>4.3</v>
      </c>
      <c r="L293">
        <v>576.98</v>
      </c>
    </row>
    <row r="294" spans="1:12">
      <c r="A294">
        <v>10293</v>
      </c>
      <c r="B294" t="s">
        <v>329</v>
      </c>
      <c r="C294">
        <v>1384</v>
      </c>
      <c r="D294" t="s">
        <v>34</v>
      </c>
      <c r="E294" t="s">
        <v>43</v>
      </c>
      <c r="F294">
        <v>4</v>
      </c>
      <c r="G294">
        <v>515.37</v>
      </c>
      <c r="H294">
        <v>0.28000000000000003</v>
      </c>
      <c r="I294" t="s">
        <v>31</v>
      </c>
      <c r="J294">
        <v>7</v>
      </c>
      <c r="K294">
        <v>2</v>
      </c>
      <c r="L294">
        <v>1484.27</v>
      </c>
    </row>
    <row r="295" spans="1:12">
      <c r="A295">
        <v>10294</v>
      </c>
      <c r="B295" t="s">
        <v>330</v>
      </c>
      <c r="C295">
        <v>1402</v>
      </c>
      <c r="D295" t="s">
        <v>13</v>
      </c>
      <c r="E295" t="s">
        <v>30</v>
      </c>
      <c r="F295">
        <v>2</v>
      </c>
      <c r="G295">
        <v>409.96</v>
      </c>
      <c r="H295">
        <v>0.1</v>
      </c>
      <c r="I295" t="s">
        <v>28</v>
      </c>
      <c r="J295">
        <v>11</v>
      </c>
      <c r="K295">
        <v>4.5999999999999996</v>
      </c>
      <c r="L295">
        <v>737.93</v>
      </c>
    </row>
    <row r="296" spans="1:12">
      <c r="A296">
        <v>10295</v>
      </c>
      <c r="B296" t="s">
        <v>331</v>
      </c>
      <c r="C296">
        <v>1637</v>
      </c>
      <c r="D296" t="s">
        <v>27</v>
      </c>
      <c r="E296" t="s">
        <v>30</v>
      </c>
      <c r="F296">
        <v>5</v>
      </c>
      <c r="G296">
        <v>114.59</v>
      </c>
      <c r="H296">
        <v>0.06</v>
      </c>
      <c r="I296" t="s">
        <v>28</v>
      </c>
      <c r="J296">
        <v>5</v>
      </c>
      <c r="K296">
        <v>2.2000000000000002</v>
      </c>
      <c r="L296">
        <v>538.57000000000005</v>
      </c>
    </row>
    <row r="297" spans="1:12">
      <c r="A297">
        <v>10296</v>
      </c>
      <c r="B297" t="s">
        <v>332</v>
      </c>
      <c r="C297">
        <v>1129</v>
      </c>
      <c r="D297" t="s">
        <v>27</v>
      </c>
      <c r="E297" t="s">
        <v>14</v>
      </c>
      <c r="F297">
        <v>7</v>
      </c>
      <c r="G297">
        <v>126.01</v>
      </c>
      <c r="H297">
        <v>0.02</v>
      </c>
      <c r="I297" t="s">
        <v>31</v>
      </c>
      <c r="J297">
        <v>3</v>
      </c>
      <c r="K297">
        <v>1.3</v>
      </c>
      <c r="L297">
        <v>864.43</v>
      </c>
    </row>
    <row r="298" spans="1:12">
      <c r="A298">
        <v>10297</v>
      </c>
      <c r="B298" t="s">
        <v>333</v>
      </c>
      <c r="C298">
        <v>1052</v>
      </c>
      <c r="D298" t="s">
        <v>27</v>
      </c>
      <c r="E298" t="s">
        <v>14</v>
      </c>
      <c r="F298">
        <v>4</v>
      </c>
      <c r="G298">
        <v>557</v>
      </c>
      <c r="H298">
        <v>0.2</v>
      </c>
      <c r="I298" t="s">
        <v>28</v>
      </c>
      <c r="J298">
        <v>3</v>
      </c>
      <c r="K298">
        <v>1</v>
      </c>
      <c r="L298">
        <v>1782.4</v>
      </c>
    </row>
    <row r="299" spans="1:12">
      <c r="A299">
        <v>10298</v>
      </c>
      <c r="B299" t="s">
        <v>334</v>
      </c>
      <c r="C299">
        <v>1683</v>
      </c>
      <c r="D299" t="s">
        <v>27</v>
      </c>
      <c r="E299" t="s">
        <v>14</v>
      </c>
      <c r="F299">
        <v>3</v>
      </c>
      <c r="G299">
        <v>33.85</v>
      </c>
      <c r="H299">
        <v>0.24</v>
      </c>
      <c r="I299" t="s">
        <v>31</v>
      </c>
      <c r="J299">
        <v>5</v>
      </c>
      <c r="K299">
        <v>2.1</v>
      </c>
      <c r="L299">
        <v>77.180000000000007</v>
      </c>
    </row>
    <row r="300" spans="1:12">
      <c r="A300">
        <v>10299</v>
      </c>
      <c r="B300" t="s">
        <v>335</v>
      </c>
      <c r="C300">
        <v>1729</v>
      </c>
      <c r="D300" t="s">
        <v>55</v>
      </c>
      <c r="E300" t="s">
        <v>43</v>
      </c>
      <c r="F300">
        <v>4</v>
      </c>
      <c r="G300">
        <v>285.58</v>
      </c>
      <c r="H300">
        <v>0.11</v>
      </c>
      <c r="I300" t="s">
        <v>28</v>
      </c>
      <c r="J300">
        <v>4</v>
      </c>
      <c r="K300">
        <v>2.9</v>
      </c>
      <c r="L300">
        <v>1016.66</v>
      </c>
    </row>
    <row r="301" spans="1:12">
      <c r="A301">
        <v>10300</v>
      </c>
      <c r="B301" t="s">
        <v>336</v>
      </c>
      <c r="C301">
        <v>1671</v>
      </c>
      <c r="D301" t="s">
        <v>34</v>
      </c>
      <c r="E301" t="s">
        <v>43</v>
      </c>
      <c r="F301">
        <v>3</v>
      </c>
      <c r="G301">
        <v>198.38</v>
      </c>
      <c r="H301">
        <v>0.21</v>
      </c>
      <c r="I301" t="s">
        <v>31</v>
      </c>
      <c r="J301">
        <v>5</v>
      </c>
      <c r="K301">
        <v>1</v>
      </c>
      <c r="L301">
        <v>470.16</v>
      </c>
    </row>
    <row r="302" spans="1:12">
      <c r="A302">
        <v>10301</v>
      </c>
      <c r="B302" s="8">
        <v>44862</v>
      </c>
      <c r="C302">
        <v>1709</v>
      </c>
      <c r="D302" t="s">
        <v>27</v>
      </c>
      <c r="E302" t="s">
        <v>43</v>
      </c>
      <c r="F302">
        <v>6</v>
      </c>
      <c r="G302">
        <v>404.07</v>
      </c>
      <c r="H302">
        <v>0.02</v>
      </c>
      <c r="I302" t="s">
        <v>31</v>
      </c>
      <c r="J302">
        <v>9</v>
      </c>
      <c r="K302">
        <v>3.3</v>
      </c>
      <c r="L302">
        <v>2375.9299999999998</v>
      </c>
    </row>
    <row r="303" spans="1:12">
      <c r="A303">
        <v>10302</v>
      </c>
      <c r="B303" t="s">
        <v>337</v>
      </c>
      <c r="C303">
        <v>1415</v>
      </c>
      <c r="D303" t="s">
        <v>13</v>
      </c>
      <c r="E303" t="s">
        <v>30</v>
      </c>
      <c r="F303">
        <v>1</v>
      </c>
      <c r="G303">
        <v>506.18</v>
      </c>
      <c r="H303">
        <v>0.03</v>
      </c>
      <c r="I303" t="s">
        <v>28</v>
      </c>
      <c r="J303">
        <v>5</v>
      </c>
      <c r="K303">
        <v>2.2999999999999998</v>
      </c>
      <c r="L303">
        <v>490.99</v>
      </c>
    </row>
    <row r="304" spans="1:12">
      <c r="A304">
        <v>10303</v>
      </c>
      <c r="B304" t="s">
        <v>338</v>
      </c>
      <c r="C304">
        <v>1246</v>
      </c>
      <c r="D304" t="s">
        <v>13</v>
      </c>
      <c r="E304" t="s">
        <v>14</v>
      </c>
      <c r="F304">
        <v>7</v>
      </c>
      <c r="G304">
        <v>225.82</v>
      </c>
      <c r="H304">
        <v>0.25</v>
      </c>
      <c r="I304" t="s">
        <v>31</v>
      </c>
      <c r="J304">
        <v>4</v>
      </c>
      <c r="K304">
        <v>2.6</v>
      </c>
      <c r="L304">
        <v>1185.56</v>
      </c>
    </row>
    <row r="305" spans="1:12">
      <c r="A305">
        <v>10304</v>
      </c>
      <c r="B305" t="s">
        <v>339</v>
      </c>
      <c r="C305">
        <v>1835</v>
      </c>
      <c r="D305" t="s">
        <v>13</v>
      </c>
      <c r="E305" t="s">
        <v>32</v>
      </c>
      <c r="F305">
        <v>1</v>
      </c>
      <c r="G305">
        <v>264.74</v>
      </c>
      <c r="H305">
        <v>0.13</v>
      </c>
      <c r="I305" t="s">
        <v>28</v>
      </c>
      <c r="J305">
        <v>4</v>
      </c>
      <c r="K305">
        <v>2</v>
      </c>
      <c r="L305">
        <v>230.32</v>
      </c>
    </row>
    <row r="306" spans="1:12">
      <c r="A306">
        <v>10305</v>
      </c>
      <c r="B306" t="s">
        <v>340</v>
      </c>
      <c r="C306">
        <v>1438</v>
      </c>
      <c r="D306" t="s">
        <v>27</v>
      </c>
      <c r="E306" t="s">
        <v>30</v>
      </c>
      <c r="F306">
        <v>4</v>
      </c>
      <c r="G306">
        <v>589.41999999999996</v>
      </c>
      <c r="H306">
        <v>0.23</v>
      </c>
      <c r="I306" t="s">
        <v>28</v>
      </c>
      <c r="J306">
        <v>1</v>
      </c>
      <c r="K306">
        <v>3.1</v>
      </c>
      <c r="L306">
        <v>1815.41</v>
      </c>
    </row>
    <row r="307" spans="1:12">
      <c r="A307">
        <v>10306</v>
      </c>
      <c r="B307" t="s">
        <v>341</v>
      </c>
      <c r="C307">
        <v>1202</v>
      </c>
      <c r="D307" t="s">
        <v>55</v>
      </c>
      <c r="E307" t="s">
        <v>43</v>
      </c>
      <c r="F307">
        <v>2</v>
      </c>
      <c r="G307">
        <v>473.59</v>
      </c>
      <c r="H307">
        <v>0.28999999999999998</v>
      </c>
      <c r="I307" t="s">
        <v>28</v>
      </c>
      <c r="J307">
        <v>10</v>
      </c>
      <c r="K307">
        <v>1.9</v>
      </c>
      <c r="L307">
        <v>672.5</v>
      </c>
    </row>
    <row r="308" spans="1:12">
      <c r="A308">
        <v>10307</v>
      </c>
      <c r="B308" t="s">
        <v>342</v>
      </c>
      <c r="C308">
        <v>1183</v>
      </c>
      <c r="D308" t="s">
        <v>27</v>
      </c>
      <c r="E308" t="s">
        <v>32</v>
      </c>
      <c r="F308">
        <v>5</v>
      </c>
      <c r="G308">
        <v>539.86</v>
      </c>
      <c r="H308">
        <v>0.3</v>
      </c>
      <c r="I308" t="s">
        <v>28</v>
      </c>
      <c r="J308">
        <v>4</v>
      </c>
      <c r="K308">
        <v>1.5</v>
      </c>
      <c r="L308">
        <v>1889.51</v>
      </c>
    </row>
    <row r="309" spans="1:12">
      <c r="A309">
        <v>10308</v>
      </c>
      <c r="B309" t="s">
        <v>343</v>
      </c>
      <c r="C309">
        <v>1122</v>
      </c>
      <c r="D309" t="s">
        <v>27</v>
      </c>
      <c r="E309" t="s">
        <v>32</v>
      </c>
      <c r="F309">
        <v>3</v>
      </c>
      <c r="G309">
        <v>271.68</v>
      </c>
      <c r="H309">
        <v>0.06</v>
      </c>
      <c r="I309" t="s">
        <v>28</v>
      </c>
      <c r="J309">
        <v>4</v>
      </c>
      <c r="K309">
        <v>4.5999999999999996</v>
      </c>
      <c r="L309">
        <v>766.14</v>
      </c>
    </row>
    <row r="310" spans="1:12">
      <c r="A310">
        <v>10309</v>
      </c>
      <c r="B310" t="s">
        <v>344</v>
      </c>
      <c r="C310">
        <v>1400</v>
      </c>
      <c r="D310" t="s">
        <v>34</v>
      </c>
      <c r="E310" t="s">
        <v>14</v>
      </c>
      <c r="F310">
        <v>5</v>
      </c>
      <c r="G310">
        <v>151.93</v>
      </c>
      <c r="H310">
        <v>0.17</v>
      </c>
      <c r="I310" t="s">
        <v>15</v>
      </c>
      <c r="J310">
        <v>9</v>
      </c>
      <c r="K310">
        <v>2.6</v>
      </c>
      <c r="L310">
        <v>630.51</v>
      </c>
    </row>
    <row r="311" spans="1:12">
      <c r="A311">
        <v>10310</v>
      </c>
      <c r="B311" t="s">
        <v>345</v>
      </c>
      <c r="C311">
        <v>1766</v>
      </c>
      <c r="D311" t="s">
        <v>27</v>
      </c>
      <c r="E311" t="s">
        <v>32</v>
      </c>
      <c r="F311">
        <v>1</v>
      </c>
      <c r="G311">
        <v>255.94</v>
      </c>
      <c r="H311">
        <v>0.26</v>
      </c>
      <c r="I311" t="s">
        <v>28</v>
      </c>
      <c r="J311">
        <v>11</v>
      </c>
      <c r="K311">
        <v>1.3</v>
      </c>
      <c r="L311">
        <v>189.4</v>
      </c>
    </row>
    <row r="312" spans="1:12">
      <c r="A312">
        <v>10311</v>
      </c>
      <c r="B312" t="s">
        <v>346</v>
      </c>
      <c r="C312">
        <v>1293</v>
      </c>
      <c r="D312" t="s">
        <v>34</v>
      </c>
      <c r="E312" t="s">
        <v>43</v>
      </c>
      <c r="F312">
        <v>2</v>
      </c>
      <c r="G312">
        <v>433.91</v>
      </c>
      <c r="H312">
        <v>0.27</v>
      </c>
      <c r="I312" t="s">
        <v>28</v>
      </c>
      <c r="J312">
        <v>4</v>
      </c>
      <c r="K312">
        <v>1.9</v>
      </c>
      <c r="L312">
        <v>633.51</v>
      </c>
    </row>
    <row r="313" spans="1:12">
      <c r="A313">
        <v>10312</v>
      </c>
      <c r="B313" t="s">
        <v>347</v>
      </c>
      <c r="C313">
        <v>1279</v>
      </c>
      <c r="D313" t="s">
        <v>34</v>
      </c>
      <c r="E313" t="s">
        <v>14</v>
      </c>
      <c r="F313">
        <v>2</v>
      </c>
      <c r="G313">
        <v>79.02</v>
      </c>
      <c r="H313">
        <v>0.27</v>
      </c>
      <c r="I313" t="s">
        <v>28</v>
      </c>
      <c r="J313">
        <v>7</v>
      </c>
      <c r="K313">
        <v>2.2000000000000002</v>
      </c>
      <c r="L313">
        <v>115.37</v>
      </c>
    </row>
    <row r="314" spans="1:12">
      <c r="A314">
        <v>10313</v>
      </c>
      <c r="B314" t="s">
        <v>348</v>
      </c>
      <c r="C314">
        <v>1836</v>
      </c>
      <c r="D314" t="s">
        <v>13</v>
      </c>
      <c r="E314" t="s">
        <v>32</v>
      </c>
      <c r="F314">
        <v>5</v>
      </c>
      <c r="G314">
        <v>173.22</v>
      </c>
      <c r="H314">
        <v>0.08</v>
      </c>
      <c r="I314" t="s">
        <v>28</v>
      </c>
      <c r="J314">
        <v>1</v>
      </c>
      <c r="K314">
        <v>4.0999999999999996</v>
      </c>
      <c r="L314">
        <v>796.81</v>
      </c>
    </row>
    <row r="315" spans="1:12">
      <c r="A315">
        <v>10314</v>
      </c>
      <c r="B315" t="s">
        <v>349</v>
      </c>
      <c r="C315">
        <v>1883</v>
      </c>
      <c r="D315" t="s">
        <v>34</v>
      </c>
      <c r="E315" t="s">
        <v>14</v>
      </c>
      <c r="F315">
        <v>1</v>
      </c>
      <c r="G315">
        <v>42.28</v>
      </c>
      <c r="H315">
        <v>7.0000000000000007E-2</v>
      </c>
      <c r="I315" t="s">
        <v>31</v>
      </c>
      <c r="J315">
        <v>7</v>
      </c>
      <c r="K315">
        <v>1.1000000000000001</v>
      </c>
      <c r="L315">
        <v>39.32</v>
      </c>
    </row>
    <row r="316" spans="1:12">
      <c r="A316">
        <v>10315</v>
      </c>
      <c r="B316" t="s">
        <v>350</v>
      </c>
      <c r="C316">
        <v>1609</v>
      </c>
      <c r="D316" t="s">
        <v>34</v>
      </c>
      <c r="E316" t="s">
        <v>32</v>
      </c>
      <c r="F316">
        <v>5</v>
      </c>
      <c r="G316">
        <v>267.92</v>
      </c>
      <c r="H316">
        <v>0.21</v>
      </c>
      <c r="I316" t="s">
        <v>28</v>
      </c>
      <c r="J316">
        <v>2</v>
      </c>
      <c r="K316">
        <v>2.9</v>
      </c>
      <c r="L316">
        <v>1058.28</v>
      </c>
    </row>
    <row r="317" spans="1:12">
      <c r="A317">
        <v>10316</v>
      </c>
      <c r="B317" t="s">
        <v>351</v>
      </c>
      <c r="C317">
        <v>1197</v>
      </c>
      <c r="D317" t="s">
        <v>34</v>
      </c>
      <c r="E317" t="s">
        <v>30</v>
      </c>
      <c r="F317">
        <v>4</v>
      </c>
      <c r="G317">
        <v>499.06</v>
      </c>
      <c r="H317">
        <v>0.26</v>
      </c>
      <c r="I317" t="s">
        <v>31</v>
      </c>
      <c r="J317">
        <v>11</v>
      </c>
      <c r="K317">
        <v>2.6</v>
      </c>
      <c r="L317">
        <v>1477.22</v>
      </c>
    </row>
    <row r="318" spans="1:12">
      <c r="A318">
        <v>10317</v>
      </c>
      <c r="B318" t="s">
        <v>352</v>
      </c>
      <c r="C318">
        <v>1981</v>
      </c>
      <c r="D318" t="s">
        <v>13</v>
      </c>
      <c r="E318" t="s">
        <v>30</v>
      </c>
      <c r="F318">
        <v>2</v>
      </c>
      <c r="G318">
        <v>29.43</v>
      </c>
      <c r="H318">
        <v>0.11</v>
      </c>
      <c r="I318" t="s">
        <v>28</v>
      </c>
      <c r="J318">
        <v>8</v>
      </c>
      <c r="K318">
        <v>4.9000000000000004</v>
      </c>
      <c r="L318">
        <v>52.39</v>
      </c>
    </row>
    <row r="319" spans="1:12">
      <c r="A319">
        <v>10318</v>
      </c>
      <c r="B319" t="s">
        <v>353</v>
      </c>
      <c r="C319">
        <v>1906</v>
      </c>
      <c r="D319" t="s">
        <v>27</v>
      </c>
      <c r="E319" t="s">
        <v>43</v>
      </c>
      <c r="F319">
        <v>2</v>
      </c>
      <c r="G319">
        <v>410.06</v>
      </c>
      <c r="H319">
        <v>0.04</v>
      </c>
      <c r="I319" t="s">
        <v>15</v>
      </c>
      <c r="J319">
        <v>1</v>
      </c>
      <c r="K319">
        <v>1.7</v>
      </c>
      <c r="L319">
        <v>787.32</v>
      </c>
    </row>
    <row r="320" spans="1:12">
      <c r="A320">
        <v>10319</v>
      </c>
      <c r="B320" t="s">
        <v>354</v>
      </c>
      <c r="C320">
        <v>1510</v>
      </c>
      <c r="D320" t="s">
        <v>27</v>
      </c>
      <c r="E320" t="s">
        <v>30</v>
      </c>
      <c r="F320">
        <v>4</v>
      </c>
      <c r="G320">
        <v>560.51</v>
      </c>
      <c r="H320">
        <v>0.25</v>
      </c>
      <c r="I320" t="s">
        <v>28</v>
      </c>
      <c r="J320">
        <v>10</v>
      </c>
      <c r="K320">
        <v>3.5</v>
      </c>
      <c r="L320">
        <v>1681.53</v>
      </c>
    </row>
    <row r="321" spans="1:12">
      <c r="A321">
        <v>10320</v>
      </c>
      <c r="B321" t="s">
        <v>355</v>
      </c>
      <c r="C321">
        <v>1751</v>
      </c>
      <c r="D321" t="s">
        <v>55</v>
      </c>
      <c r="E321" t="s">
        <v>30</v>
      </c>
      <c r="F321">
        <v>1</v>
      </c>
      <c r="G321">
        <v>153.6</v>
      </c>
      <c r="H321">
        <v>0.1</v>
      </c>
      <c r="I321" t="s">
        <v>31</v>
      </c>
      <c r="J321">
        <v>3</v>
      </c>
      <c r="K321">
        <v>1.8</v>
      </c>
      <c r="L321">
        <v>138.24</v>
      </c>
    </row>
    <row r="322" spans="1:12">
      <c r="A322">
        <v>10321</v>
      </c>
      <c r="B322" t="s">
        <v>356</v>
      </c>
      <c r="C322">
        <v>1143</v>
      </c>
      <c r="D322" t="s">
        <v>55</v>
      </c>
      <c r="E322" t="s">
        <v>30</v>
      </c>
      <c r="F322">
        <v>2</v>
      </c>
      <c r="G322">
        <v>420.78</v>
      </c>
      <c r="H322">
        <v>0.06</v>
      </c>
      <c r="I322" t="s">
        <v>31</v>
      </c>
      <c r="J322">
        <v>8</v>
      </c>
      <c r="K322">
        <v>3.2</v>
      </c>
      <c r="L322">
        <v>791.07</v>
      </c>
    </row>
    <row r="323" spans="1:12">
      <c r="A323">
        <v>10322</v>
      </c>
      <c r="B323" t="s">
        <v>357</v>
      </c>
      <c r="C323">
        <v>1608</v>
      </c>
      <c r="D323" t="s">
        <v>34</v>
      </c>
      <c r="E323" t="s">
        <v>32</v>
      </c>
      <c r="F323">
        <v>7</v>
      </c>
      <c r="G323">
        <v>585.42999999999995</v>
      </c>
      <c r="H323">
        <v>0.05</v>
      </c>
      <c r="I323" t="s">
        <v>28</v>
      </c>
      <c r="J323">
        <v>10</v>
      </c>
      <c r="K323">
        <v>3.2</v>
      </c>
      <c r="L323">
        <v>3893.11</v>
      </c>
    </row>
    <row r="324" spans="1:12">
      <c r="A324">
        <v>10323</v>
      </c>
      <c r="B324" t="s">
        <v>358</v>
      </c>
      <c r="C324">
        <v>1200</v>
      </c>
      <c r="D324" t="s">
        <v>55</v>
      </c>
      <c r="E324" t="s">
        <v>32</v>
      </c>
      <c r="F324">
        <v>6</v>
      </c>
      <c r="G324">
        <v>577.92999999999995</v>
      </c>
      <c r="H324">
        <v>0.11</v>
      </c>
      <c r="I324" t="s">
        <v>31</v>
      </c>
      <c r="J324">
        <v>8</v>
      </c>
      <c r="K324">
        <v>1.3</v>
      </c>
      <c r="L324">
        <v>3086.15</v>
      </c>
    </row>
    <row r="325" spans="1:12">
      <c r="A325">
        <v>10324</v>
      </c>
      <c r="B325" t="s">
        <v>359</v>
      </c>
      <c r="C325">
        <v>1123</v>
      </c>
      <c r="D325" t="s">
        <v>55</v>
      </c>
      <c r="E325" t="s">
        <v>14</v>
      </c>
      <c r="F325">
        <v>6</v>
      </c>
      <c r="G325">
        <v>152.43</v>
      </c>
      <c r="H325">
        <v>0.21</v>
      </c>
      <c r="I325" t="s">
        <v>31</v>
      </c>
      <c r="J325">
        <v>11</v>
      </c>
      <c r="K325">
        <v>2.8</v>
      </c>
      <c r="L325">
        <v>722.52</v>
      </c>
    </row>
    <row r="326" spans="1:12">
      <c r="A326">
        <v>10325</v>
      </c>
      <c r="B326" t="s">
        <v>360</v>
      </c>
      <c r="C326">
        <v>1186</v>
      </c>
      <c r="D326" t="s">
        <v>55</v>
      </c>
      <c r="E326" t="s">
        <v>32</v>
      </c>
      <c r="F326">
        <v>6</v>
      </c>
      <c r="G326">
        <v>73.69</v>
      </c>
      <c r="H326">
        <v>0.13</v>
      </c>
      <c r="I326" t="s">
        <v>28</v>
      </c>
      <c r="J326">
        <v>5</v>
      </c>
      <c r="K326">
        <v>2.8</v>
      </c>
      <c r="L326">
        <v>384.66</v>
      </c>
    </row>
    <row r="327" spans="1:12">
      <c r="A327">
        <v>10326</v>
      </c>
      <c r="B327" t="s">
        <v>361</v>
      </c>
      <c r="C327">
        <v>1325</v>
      </c>
      <c r="D327" t="s">
        <v>34</v>
      </c>
      <c r="E327" t="s">
        <v>30</v>
      </c>
      <c r="F327">
        <v>3</v>
      </c>
      <c r="G327">
        <v>101.75</v>
      </c>
      <c r="H327">
        <v>0.01</v>
      </c>
      <c r="I327" t="s">
        <v>31</v>
      </c>
      <c r="J327">
        <v>5</v>
      </c>
      <c r="K327">
        <v>2.2999999999999998</v>
      </c>
      <c r="L327">
        <v>302.2</v>
      </c>
    </row>
    <row r="328" spans="1:12">
      <c r="A328">
        <v>10327</v>
      </c>
      <c r="B328" t="s">
        <v>362</v>
      </c>
      <c r="C328">
        <v>1463</v>
      </c>
      <c r="D328" t="s">
        <v>13</v>
      </c>
      <c r="E328" t="s">
        <v>32</v>
      </c>
      <c r="F328">
        <v>7</v>
      </c>
      <c r="G328">
        <v>425.69</v>
      </c>
      <c r="H328">
        <v>0.03</v>
      </c>
      <c r="I328" t="s">
        <v>15</v>
      </c>
      <c r="J328">
        <v>8</v>
      </c>
      <c r="K328">
        <v>2.1</v>
      </c>
      <c r="L328">
        <v>2890.44</v>
      </c>
    </row>
    <row r="329" spans="1:12">
      <c r="A329">
        <v>10328</v>
      </c>
      <c r="B329" t="s">
        <v>363</v>
      </c>
      <c r="C329">
        <v>1348</v>
      </c>
      <c r="D329" t="s">
        <v>27</v>
      </c>
      <c r="E329" t="s">
        <v>43</v>
      </c>
      <c r="F329">
        <v>3</v>
      </c>
      <c r="G329">
        <v>439.57</v>
      </c>
      <c r="H329">
        <v>0.1</v>
      </c>
      <c r="I329" t="s">
        <v>31</v>
      </c>
      <c r="J329">
        <v>10</v>
      </c>
      <c r="K329">
        <v>1.9</v>
      </c>
      <c r="L329">
        <v>1186.8399999999999</v>
      </c>
    </row>
    <row r="330" spans="1:12">
      <c r="A330">
        <v>10329</v>
      </c>
      <c r="B330" t="s">
        <v>364</v>
      </c>
      <c r="C330">
        <v>1770</v>
      </c>
      <c r="D330" t="s">
        <v>34</v>
      </c>
      <c r="E330" t="s">
        <v>14</v>
      </c>
      <c r="F330">
        <v>1</v>
      </c>
      <c r="G330">
        <v>409.43</v>
      </c>
      <c r="H330">
        <v>0.23</v>
      </c>
      <c r="I330" t="s">
        <v>15</v>
      </c>
      <c r="J330">
        <v>5</v>
      </c>
      <c r="K330">
        <v>1</v>
      </c>
      <c r="L330">
        <v>315.26</v>
      </c>
    </row>
    <row r="331" spans="1:12">
      <c r="A331">
        <v>10330</v>
      </c>
      <c r="B331" t="s">
        <v>365</v>
      </c>
      <c r="C331">
        <v>1659</v>
      </c>
      <c r="D331" t="s">
        <v>27</v>
      </c>
      <c r="E331" t="s">
        <v>14</v>
      </c>
      <c r="F331">
        <v>4</v>
      </c>
      <c r="G331">
        <v>211.61</v>
      </c>
      <c r="H331">
        <v>0.03</v>
      </c>
      <c r="I331" t="s">
        <v>28</v>
      </c>
      <c r="J331">
        <v>9</v>
      </c>
      <c r="K331">
        <v>1</v>
      </c>
      <c r="L331">
        <v>821.05</v>
      </c>
    </row>
    <row r="332" spans="1:12">
      <c r="A332">
        <v>10331</v>
      </c>
      <c r="B332" t="s">
        <v>366</v>
      </c>
      <c r="C332">
        <v>1763</v>
      </c>
      <c r="D332" t="s">
        <v>34</v>
      </c>
      <c r="E332" t="s">
        <v>32</v>
      </c>
      <c r="F332">
        <v>5</v>
      </c>
      <c r="G332">
        <v>114.32</v>
      </c>
      <c r="H332">
        <v>0.2</v>
      </c>
      <c r="I332" t="s">
        <v>31</v>
      </c>
      <c r="J332">
        <v>1</v>
      </c>
      <c r="K332">
        <v>3.4</v>
      </c>
      <c r="L332">
        <v>457.28</v>
      </c>
    </row>
    <row r="333" spans="1:12">
      <c r="A333">
        <v>10332</v>
      </c>
      <c r="B333" t="s">
        <v>367</v>
      </c>
      <c r="C333">
        <v>1954</v>
      </c>
      <c r="D333" t="s">
        <v>34</v>
      </c>
      <c r="E333" t="s">
        <v>30</v>
      </c>
      <c r="F333">
        <v>7</v>
      </c>
      <c r="G333">
        <v>354.75</v>
      </c>
      <c r="H333">
        <v>0.04</v>
      </c>
      <c r="I333" t="s">
        <v>15</v>
      </c>
      <c r="J333">
        <v>5</v>
      </c>
      <c r="K333">
        <v>2.2000000000000002</v>
      </c>
      <c r="L333">
        <v>2383.92</v>
      </c>
    </row>
    <row r="334" spans="1:12">
      <c r="A334">
        <v>10333</v>
      </c>
      <c r="B334" t="s">
        <v>368</v>
      </c>
      <c r="C334">
        <v>1931</v>
      </c>
      <c r="D334" t="s">
        <v>55</v>
      </c>
      <c r="E334" t="s">
        <v>14</v>
      </c>
      <c r="F334">
        <v>1</v>
      </c>
      <c r="G334">
        <v>297.95</v>
      </c>
      <c r="H334">
        <v>7.0000000000000007E-2</v>
      </c>
      <c r="I334" t="s">
        <v>28</v>
      </c>
      <c r="J334">
        <v>3</v>
      </c>
      <c r="K334">
        <v>1.7</v>
      </c>
      <c r="L334">
        <v>277.08999999999997</v>
      </c>
    </row>
    <row r="335" spans="1:12">
      <c r="A335">
        <v>10334</v>
      </c>
      <c r="B335" t="s">
        <v>369</v>
      </c>
      <c r="C335">
        <v>1402</v>
      </c>
      <c r="D335" t="s">
        <v>34</v>
      </c>
      <c r="E335" t="s">
        <v>43</v>
      </c>
      <c r="F335">
        <v>5</v>
      </c>
      <c r="G335">
        <v>441.37</v>
      </c>
      <c r="H335">
        <v>0.06</v>
      </c>
      <c r="I335" t="s">
        <v>15</v>
      </c>
      <c r="J335">
        <v>3</v>
      </c>
      <c r="K335">
        <v>3.7</v>
      </c>
      <c r="L335">
        <v>2074.44</v>
      </c>
    </row>
    <row r="336" spans="1:12">
      <c r="A336">
        <v>10335</v>
      </c>
      <c r="B336" t="s">
        <v>370</v>
      </c>
      <c r="C336">
        <v>1345</v>
      </c>
      <c r="D336" t="s">
        <v>27</v>
      </c>
      <c r="E336" t="s">
        <v>43</v>
      </c>
      <c r="F336">
        <v>1</v>
      </c>
      <c r="G336">
        <v>273.2</v>
      </c>
      <c r="H336">
        <v>0.02</v>
      </c>
      <c r="I336" t="s">
        <v>28</v>
      </c>
      <c r="J336">
        <v>2</v>
      </c>
      <c r="K336">
        <v>3.1</v>
      </c>
      <c r="L336">
        <v>267.74</v>
      </c>
    </row>
    <row r="337" spans="1:12">
      <c r="A337">
        <v>10336</v>
      </c>
      <c r="B337" t="s">
        <v>371</v>
      </c>
      <c r="C337">
        <v>1962</v>
      </c>
      <c r="D337" t="s">
        <v>27</v>
      </c>
      <c r="E337" t="s">
        <v>14</v>
      </c>
      <c r="F337">
        <v>3</v>
      </c>
      <c r="G337">
        <v>213.1</v>
      </c>
      <c r="H337">
        <v>0.23</v>
      </c>
      <c r="I337" t="s">
        <v>15</v>
      </c>
      <c r="J337">
        <v>3</v>
      </c>
      <c r="K337">
        <v>4.7</v>
      </c>
      <c r="L337">
        <v>492.26</v>
      </c>
    </row>
    <row r="338" spans="1:12">
      <c r="A338">
        <v>10337</v>
      </c>
      <c r="B338" t="s">
        <v>372</v>
      </c>
      <c r="C338">
        <v>1510</v>
      </c>
      <c r="D338" t="s">
        <v>34</v>
      </c>
      <c r="E338" t="s">
        <v>30</v>
      </c>
      <c r="F338">
        <v>6</v>
      </c>
      <c r="G338">
        <v>186.68</v>
      </c>
      <c r="H338">
        <v>0.16</v>
      </c>
      <c r="I338" t="s">
        <v>28</v>
      </c>
      <c r="J338">
        <v>7</v>
      </c>
      <c r="K338">
        <v>4.3</v>
      </c>
      <c r="L338">
        <v>940.87</v>
      </c>
    </row>
    <row r="339" spans="1:12">
      <c r="A339">
        <v>10338</v>
      </c>
      <c r="B339" t="s">
        <v>373</v>
      </c>
      <c r="C339">
        <v>1146</v>
      </c>
      <c r="D339" t="s">
        <v>13</v>
      </c>
      <c r="E339" t="s">
        <v>30</v>
      </c>
      <c r="F339">
        <v>4</v>
      </c>
      <c r="G339">
        <v>138.71</v>
      </c>
      <c r="H339">
        <v>0.28999999999999998</v>
      </c>
      <c r="I339" t="s">
        <v>28</v>
      </c>
      <c r="J339">
        <v>8</v>
      </c>
      <c r="K339">
        <v>3.9</v>
      </c>
      <c r="L339">
        <v>393.94</v>
      </c>
    </row>
    <row r="340" spans="1:12">
      <c r="A340">
        <v>10339</v>
      </c>
      <c r="B340" t="s">
        <v>374</v>
      </c>
      <c r="C340">
        <v>1147</v>
      </c>
      <c r="D340" t="s">
        <v>34</v>
      </c>
      <c r="E340" t="s">
        <v>32</v>
      </c>
      <c r="F340">
        <v>3</v>
      </c>
      <c r="G340">
        <v>170.46</v>
      </c>
      <c r="H340">
        <v>0.03</v>
      </c>
      <c r="I340" t="s">
        <v>15</v>
      </c>
      <c r="J340">
        <v>8</v>
      </c>
      <c r="K340">
        <v>1.5</v>
      </c>
      <c r="L340">
        <v>496.04</v>
      </c>
    </row>
    <row r="341" spans="1:12">
      <c r="A341">
        <v>10340</v>
      </c>
      <c r="B341" t="s">
        <v>375</v>
      </c>
      <c r="C341">
        <v>1863</v>
      </c>
      <c r="D341" t="s">
        <v>34</v>
      </c>
      <c r="E341" t="s">
        <v>32</v>
      </c>
      <c r="F341">
        <v>4</v>
      </c>
      <c r="G341">
        <v>70.48</v>
      </c>
      <c r="H341">
        <v>0.05</v>
      </c>
      <c r="I341" t="s">
        <v>28</v>
      </c>
      <c r="J341">
        <v>11</v>
      </c>
      <c r="K341">
        <v>3.7</v>
      </c>
      <c r="L341">
        <v>267.82</v>
      </c>
    </row>
    <row r="342" spans="1:12">
      <c r="A342">
        <v>10341</v>
      </c>
      <c r="B342" t="s">
        <v>376</v>
      </c>
      <c r="C342">
        <v>1710</v>
      </c>
      <c r="D342" t="s">
        <v>34</v>
      </c>
      <c r="E342" t="s">
        <v>14</v>
      </c>
      <c r="F342">
        <v>7</v>
      </c>
      <c r="G342">
        <v>217.91</v>
      </c>
      <c r="H342">
        <v>0.11</v>
      </c>
      <c r="I342" t="s">
        <v>28</v>
      </c>
      <c r="J342">
        <v>8</v>
      </c>
      <c r="K342">
        <v>3.8</v>
      </c>
      <c r="L342">
        <v>1357.58</v>
      </c>
    </row>
    <row r="343" spans="1:12">
      <c r="A343">
        <v>10342</v>
      </c>
      <c r="B343" t="s">
        <v>377</v>
      </c>
      <c r="C343">
        <v>1819</v>
      </c>
      <c r="D343" t="s">
        <v>34</v>
      </c>
      <c r="E343" t="s">
        <v>32</v>
      </c>
      <c r="F343">
        <v>5</v>
      </c>
      <c r="G343">
        <v>36.39</v>
      </c>
      <c r="H343">
        <v>0.27</v>
      </c>
      <c r="I343" t="s">
        <v>28</v>
      </c>
      <c r="J343">
        <v>1</v>
      </c>
      <c r="K343">
        <v>4.0999999999999996</v>
      </c>
      <c r="L343">
        <v>132.82</v>
      </c>
    </row>
    <row r="344" spans="1:12">
      <c r="A344">
        <v>10343</v>
      </c>
      <c r="B344" t="s">
        <v>378</v>
      </c>
      <c r="C344">
        <v>1488</v>
      </c>
      <c r="D344" t="s">
        <v>34</v>
      </c>
      <c r="E344" t="s">
        <v>32</v>
      </c>
      <c r="F344">
        <v>1</v>
      </c>
      <c r="G344">
        <v>124.05</v>
      </c>
      <c r="H344">
        <v>0.11</v>
      </c>
      <c r="I344" t="s">
        <v>31</v>
      </c>
      <c r="J344">
        <v>11</v>
      </c>
      <c r="K344">
        <v>2.1</v>
      </c>
      <c r="L344">
        <v>110.4</v>
      </c>
    </row>
    <row r="345" spans="1:12">
      <c r="A345">
        <v>10344</v>
      </c>
      <c r="B345" t="s">
        <v>379</v>
      </c>
      <c r="C345">
        <v>1928</v>
      </c>
      <c r="D345" t="s">
        <v>55</v>
      </c>
      <c r="E345" t="s">
        <v>32</v>
      </c>
      <c r="F345">
        <v>2</v>
      </c>
      <c r="G345">
        <v>451.86</v>
      </c>
      <c r="H345">
        <v>0.14000000000000001</v>
      </c>
      <c r="I345" t="s">
        <v>15</v>
      </c>
      <c r="J345">
        <v>7</v>
      </c>
      <c r="K345">
        <v>3.6</v>
      </c>
      <c r="L345">
        <v>777.2</v>
      </c>
    </row>
    <row r="346" spans="1:12">
      <c r="A346">
        <v>10345</v>
      </c>
      <c r="B346" t="s">
        <v>380</v>
      </c>
      <c r="C346">
        <v>1935</v>
      </c>
      <c r="D346" t="s">
        <v>13</v>
      </c>
      <c r="E346" t="s">
        <v>43</v>
      </c>
      <c r="F346">
        <v>2</v>
      </c>
      <c r="G346">
        <v>205.4</v>
      </c>
      <c r="H346">
        <v>0.11</v>
      </c>
      <c r="I346" t="s">
        <v>28</v>
      </c>
      <c r="J346">
        <v>2</v>
      </c>
      <c r="K346">
        <v>3.5</v>
      </c>
      <c r="L346">
        <v>365.61</v>
      </c>
    </row>
    <row r="347" spans="1:12">
      <c r="A347">
        <v>10346</v>
      </c>
      <c r="B347" t="s">
        <v>381</v>
      </c>
      <c r="C347">
        <v>1639</v>
      </c>
      <c r="D347" t="s">
        <v>34</v>
      </c>
      <c r="E347" t="s">
        <v>32</v>
      </c>
      <c r="F347">
        <v>4</v>
      </c>
      <c r="G347">
        <v>405.92</v>
      </c>
      <c r="H347">
        <v>0.03</v>
      </c>
      <c r="I347" t="s">
        <v>31</v>
      </c>
      <c r="J347">
        <v>11</v>
      </c>
      <c r="K347">
        <v>2.5</v>
      </c>
      <c r="L347">
        <v>1574.97</v>
      </c>
    </row>
    <row r="348" spans="1:12">
      <c r="A348">
        <v>10347</v>
      </c>
      <c r="B348" t="s">
        <v>382</v>
      </c>
      <c r="C348">
        <v>1550</v>
      </c>
      <c r="D348" t="s">
        <v>55</v>
      </c>
      <c r="E348" t="s">
        <v>14</v>
      </c>
      <c r="F348">
        <v>6</v>
      </c>
      <c r="G348">
        <v>434.38</v>
      </c>
      <c r="H348">
        <v>0.33</v>
      </c>
      <c r="I348" t="s">
        <v>28</v>
      </c>
      <c r="J348">
        <v>10</v>
      </c>
      <c r="K348">
        <v>3.7</v>
      </c>
      <c r="L348">
        <v>1746.21</v>
      </c>
    </row>
    <row r="349" spans="1:12">
      <c r="A349">
        <v>10348</v>
      </c>
      <c r="B349" t="s">
        <v>383</v>
      </c>
      <c r="C349">
        <v>1337</v>
      </c>
      <c r="D349" t="s">
        <v>55</v>
      </c>
      <c r="E349" t="s">
        <v>30</v>
      </c>
      <c r="F349">
        <v>6</v>
      </c>
      <c r="G349">
        <v>354.99</v>
      </c>
      <c r="H349">
        <v>0.19</v>
      </c>
      <c r="I349" t="s">
        <v>31</v>
      </c>
      <c r="J349">
        <v>4</v>
      </c>
      <c r="K349">
        <v>1.3</v>
      </c>
      <c r="L349">
        <v>1725.25</v>
      </c>
    </row>
    <row r="350" spans="1:12">
      <c r="A350">
        <v>10349</v>
      </c>
      <c r="B350" t="s">
        <v>384</v>
      </c>
      <c r="C350">
        <v>1871</v>
      </c>
      <c r="D350" t="s">
        <v>55</v>
      </c>
      <c r="E350" t="s">
        <v>32</v>
      </c>
      <c r="F350">
        <v>4</v>
      </c>
      <c r="G350">
        <v>575.84</v>
      </c>
      <c r="H350">
        <v>0.28000000000000003</v>
      </c>
      <c r="I350" t="s">
        <v>28</v>
      </c>
      <c r="J350">
        <v>5</v>
      </c>
      <c r="K350">
        <v>3.6</v>
      </c>
      <c r="L350">
        <v>1658.42</v>
      </c>
    </row>
    <row r="351" spans="1:12">
      <c r="A351">
        <v>10350</v>
      </c>
      <c r="B351" t="s">
        <v>385</v>
      </c>
      <c r="C351">
        <v>1640</v>
      </c>
      <c r="D351" t="s">
        <v>27</v>
      </c>
      <c r="E351" t="s">
        <v>30</v>
      </c>
      <c r="F351">
        <v>3</v>
      </c>
      <c r="G351">
        <v>27.54</v>
      </c>
      <c r="H351">
        <v>0.23</v>
      </c>
      <c r="I351" t="s">
        <v>28</v>
      </c>
      <c r="J351">
        <v>1</v>
      </c>
      <c r="K351">
        <v>3.4</v>
      </c>
      <c r="L351">
        <v>63.62</v>
      </c>
    </row>
    <row r="352" spans="1:12">
      <c r="A352">
        <v>10351</v>
      </c>
      <c r="B352" t="s">
        <v>386</v>
      </c>
      <c r="C352">
        <v>1778</v>
      </c>
      <c r="D352" t="s">
        <v>34</v>
      </c>
      <c r="E352" t="s">
        <v>32</v>
      </c>
      <c r="F352">
        <v>2</v>
      </c>
      <c r="G352">
        <v>447.11</v>
      </c>
      <c r="H352">
        <v>0.18</v>
      </c>
      <c r="I352" t="s">
        <v>28</v>
      </c>
      <c r="J352">
        <v>4</v>
      </c>
      <c r="K352">
        <v>1.8</v>
      </c>
      <c r="L352">
        <v>733.26</v>
      </c>
    </row>
    <row r="353" spans="1:12">
      <c r="A353">
        <v>10352</v>
      </c>
      <c r="B353" t="s">
        <v>387</v>
      </c>
      <c r="C353">
        <v>1987</v>
      </c>
      <c r="D353" t="s">
        <v>34</v>
      </c>
      <c r="E353" t="s">
        <v>14</v>
      </c>
      <c r="F353">
        <v>3</v>
      </c>
      <c r="G353">
        <v>575.89</v>
      </c>
      <c r="H353">
        <v>0.03</v>
      </c>
      <c r="I353" t="s">
        <v>31</v>
      </c>
      <c r="J353">
        <v>4</v>
      </c>
      <c r="K353">
        <v>4.3</v>
      </c>
      <c r="L353">
        <v>1675.84</v>
      </c>
    </row>
    <row r="354" spans="1:12">
      <c r="A354">
        <v>10353</v>
      </c>
      <c r="B354" t="s">
        <v>388</v>
      </c>
      <c r="C354">
        <v>1952</v>
      </c>
      <c r="D354" t="s">
        <v>55</v>
      </c>
      <c r="E354" t="s">
        <v>43</v>
      </c>
      <c r="F354">
        <v>5</v>
      </c>
      <c r="G354">
        <v>519.42999999999995</v>
      </c>
      <c r="H354">
        <v>0.22</v>
      </c>
      <c r="I354" t="s">
        <v>15</v>
      </c>
      <c r="J354">
        <v>9</v>
      </c>
      <c r="K354">
        <v>4.5</v>
      </c>
      <c r="L354">
        <v>2025.78</v>
      </c>
    </row>
    <row r="355" spans="1:12">
      <c r="A355">
        <v>10354</v>
      </c>
      <c r="B355" t="s">
        <v>389</v>
      </c>
      <c r="C355">
        <v>1472</v>
      </c>
      <c r="D355" t="s">
        <v>55</v>
      </c>
      <c r="E355" t="s">
        <v>14</v>
      </c>
      <c r="F355">
        <v>2</v>
      </c>
      <c r="G355">
        <v>113.22</v>
      </c>
      <c r="H355">
        <v>0.05</v>
      </c>
      <c r="I355" t="s">
        <v>31</v>
      </c>
      <c r="J355">
        <v>9</v>
      </c>
      <c r="K355">
        <v>1.8</v>
      </c>
      <c r="L355">
        <v>215.12</v>
      </c>
    </row>
    <row r="356" spans="1:12">
      <c r="A356">
        <v>10355</v>
      </c>
      <c r="B356" t="s">
        <v>390</v>
      </c>
      <c r="C356">
        <v>1945</v>
      </c>
      <c r="D356" t="s">
        <v>34</v>
      </c>
      <c r="E356" t="s">
        <v>43</v>
      </c>
      <c r="F356">
        <v>5</v>
      </c>
      <c r="G356">
        <v>206.19</v>
      </c>
      <c r="H356">
        <v>0.15</v>
      </c>
      <c r="I356" t="s">
        <v>28</v>
      </c>
      <c r="J356">
        <v>11</v>
      </c>
      <c r="K356">
        <v>1.3</v>
      </c>
      <c r="L356">
        <v>876.31</v>
      </c>
    </row>
    <row r="357" spans="1:12">
      <c r="A357">
        <v>10356</v>
      </c>
      <c r="B357" t="s">
        <v>391</v>
      </c>
      <c r="C357">
        <v>1150</v>
      </c>
      <c r="D357" t="s">
        <v>27</v>
      </c>
      <c r="E357" t="s">
        <v>32</v>
      </c>
      <c r="F357">
        <v>1</v>
      </c>
      <c r="G357">
        <v>115.88</v>
      </c>
      <c r="H357">
        <v>0.22</v>
      </c>
      <c r="I357" t="s">
        <v>31</v>
      </c>
      <c r="J357">
        <v>10</v>
      </c>
      <c r="K357">
        <v>3.4</v>
      </c>
      <c r="L357">
        <v>90.39</v>
      </c>
    </row>
    <row r="358" spans="1:12">
      <c r="A358">
        <v>10357</v>
      </c>
      <c r="B358" t="s">
        <v>392</v>
      </c>
      <c r="C358">
        <v>1414</v>
      </c>
      <c r="D358" t="s">
        <v>13</v>
      </c>
      <c r="E358" t="s">
        <v>32</v>
      </c>
      <c r="F358">
        <v>3</v>
      </c>
      <c r="G358">
        <v>366.77</v>
      </c>
      <c r="H358">
        <v>0.27</v>
      </c>
      <c r="I358" t="s">
        <v>31</v>
      </c>
      <c r="J358">
        <v>1</v>
      </c>
      <c r="K358">
        <v>2.9</v>
      </c>
      <c r="L358">
        <v>803.23</v>
      </c>
    </row>
    <row r="359" spans="1:12">
      <c r="A359">
        <v>10358</v>
      </c>
      <c r="B359" t="s">
        <v>393</v>
      </c>
      <c r="C359">
        <v>1989</v>
      </c>
      <c r="D359" t="s">
        <v>55</v>
      </c>
      <c r="E359" t="s">
        <v>43</v>
      </c>
      <c r="F359">
        <v>4</v>
      </c>
      <c r="G359">
        <v>431.63</v>
      </c>
      <c r="H359">
        <v>0.24</v>
      </c>
      <c r="I359" t="s">
        <v>28</v>
      </c>
      <c r="J359">
        <v>8</v>
      </c>
      <c r="K359">
        <v>2.7</v>
      </c>
      <c r="L359">
        <v>1312.16</v>
      </c>
    </row>
    <row r="360" spans="1:12">
      <c r="A360">
        <v>10359</v>
      </c>
      <c r="B360" t="s">
        <v>394</v>
      </c>
      <c r="C360">
        <v>1297</v>
      </c>
      <c r="D360" t="s">
        <v>13</v>
      </c>
      <c r="E360" t="s">
        <v>14</v>
      </c>
      <c r="F360">
        <v>2</v>
      </c>
      <c r="G360">
        <v>200.49</v>
      </c>
      <c r="H360">
        <v>0.24</v>
      </c>
      <c r="I360" t="s">
        <v>28</v>
      </c>
      <c r="J360">
        <v>4</v>
      </c>
      <c r="K360">
        <v>4</v>
      </c>
      <c r="L360">
        <v>304.74</v>
      </c>
    </row>
    <row r="361" spans="1:12">
      <c r="A361">
        <v>10360</v>
      </c>
      <c r="B361" t="s">
        <v>395</v>
      </c>
      <c r="C361">
        <v>1610</v>
      </c>
      <c r="D361" t="s">
        <v>55</v>
      </c>
      <c r="E361" t="s">
        <v>14</v>
      </c>
      <c r="F361">
        <v>3</v>
      </c>
      <c r="G361">
        <v>330.61</v>
      </c>
      <c r="H361">
        <v>0.05</v>
      </c>
      <c r="I361" t="s">
        <v>28</v>
      </c>
      <c r="J361">
        <v>4</v>
      </c>
      <c r="K361">
        <v>4.9000000000000004</v>
      </c>
      <c r="L361">
        <v>942.24</v>
      </c>
    </row>
    <row r="362" spans="1:12">
      <c r="A362">
        <v>10361</v>
      </c>
      <c r="B362" t="s">
        <v>396</v>
      </c>
      <c r="C362">
        <v>1262</v>
      </c>
      <c r="D362" t="s">
        <v>27</v>
      </c>
      <c r="E362" t="s">
        <v>43</v>
      </c>
      <c r="F362">
        <v>4</v>
      </c>
      <c r="G362">
        <v>419.19</v>
      </c>
      <c r="H362">
        <v>0.12</v>
      </c>
      <c r="I362" t="s">
        <v>31</v>
      </c>
      <c r="J362">
        <v>5</v>
      </c>
      <c r="K362">
        <v>2.9</v>
      </c>
      <c r="L362">
        <v>1475.55</v>
      </c>
    </row>
    <row r="363" spans="1:12">
      <c r="A363">
        <v>10362</v>
      </c>
      <c r="B363" t="s">
        <v>397</v>
      </c>
      <c r="C363">
        <v>1763</v>
      </c>
      <c r="D363" t="s">
        <v>27</v>
      </c>
      <c r="E363" t="s">
        <v>32</v>
      </c>
      <c r="F363">
        <v>1</v>
      </c>
      <c r="G363">
        <v>261.48</v>
      </c>
      <c r="H363">
        <v>0.02</v>
      </c>
      <c r="I363" t="s">
        <v>31</v>
      </c>
      <c r="J363">
        <v>2</v>
      </c>
      <c r="K363">
        <v>1</v>
      </c>
      <c r="L363">
        <v>256.25</v>
      </c>
    </row>
    <row r="364" spans="1:12">
      <c r="A364">
        <v>10363</v>
      </c>
      <c r="B364" t="s">
        <v>398</v>
      </c>
      <c r="C364">
        <v>1143</v>
      </c>
      <c r="D364" t="s">
        <v>55</v>
      </c>
      <c r="E364" t="s">
        <v>43</v>
      </c>
      <c r="F364">
        <v>2</v>
      </c>
      <c r="G364">
        <v>514.6</v>
      </c>
      <c r="H364">
        <v>0.25</v>
      </c>
      <c r="I364" t="s">
        <v>31</v>
      </c>
      <c r="J364">
        <v>1</v>
      </c>
      <c r="K364">
        <v>3.4</v>
      </c>
      <c r="L364">
        <v>771.9</v>
      </c>
    </row>
    <row r="365" spans="1:12">
      <c r="A365">
        <v>10364</v>
      </c>
      <c r="B365" t="s">
        <v>399</v>
      </c>
      <c r="C365">
        <v>1345</v>
      </c>
      <c r="D365" t="s">
        <v>34</v>
      </c>
      <c r="E365" t="s">
        <v>32</v>
      </c>
      <c r="F365">
        <v>5</v>
      </c>
      <c r="G365">
        <v>466.36</v>
      </c>
      <c r="H365">
        <v>0.33</v>
      </c>
      <c r="I365" t="s">
        <v>28</v>
      </c>
      <c r="J365">
        <v>5</v>
      </c>
      <c r="K365">
        <v>3.6</v>
      </c>
      <c r="L365">
        <v>1562.31</v>
      </c>
    </row>
    <row r="366" spans="1:12">
      <c r="A366">
        <v>10365</v>
      </c>
      <c r="B366" t="s">
        <v>400</v>
      </c>
      <c r="C366">
        <v>1623</v>
      </c>
      <c r="D366" t="s">
        <v>27</v>
      </c>
      <c r="E366" t="s">
        <v>43</v>
      </c>
      <c r="F366">
        <v>1</v>
      </c>
      <c r="G366">
        <v>52.83</v>
      </c>
      <c r="H366">
        <v>0.09</v>
      </c>
      <c r="I366" t="s">
        <v>28</v>
      </c>
      <c r="J366">
        <v>7</v>
      </c>
      <c r="K366">
        <v>4.3</v>
      </c>
      <c r="L366">
        <v>48.08</v>
      </c>
    </row>
    <row r="367" spans="1:12">
      <c r="A367">
        <v>10366</v>
      </c>
      <c r="B367" t="s">
        <v>401</v>
      </c>
      <c r="C367">
        <v>1571</v>
      </c>
      <c r="D367" t="s">
        <v>55</v>
      </c>
      <c r="E367" t="s">
        <v>32</v>
      </c>
      <c r="F367">
        <v>6</v>
      </c>
      <c r="G367">
        <v>378.36</v>
      </c>
      <c r="H367">
        <v>0.03</v>
      </c>
      <c r="I367" t="s">
        <v>15</v>
      </c>
      <c r="J367">
        <v>10</v>
      </c>
      <c r="K367">
        <v>1.8</v>
      </c>
      <c r="L367">
        <v>2202.06</v>
      </c>
    </row>
    <row r="368" spans="1:12">
      <c r="A368">
        <v>10367</v>
      </c>
      <c r="B368" t="s">
        <v>402</v>
      </c>
      <c r="C368">
        <v>1880</v>
      </c>
      <c r="D368" t="s">
        <v>34</v>
      </c>
      <c r="E368" t="s">
        <v>43</v>
      </c>
      <c r="F368">
        <v>4</v>
      </c>
      <c r="G368">
        <v>152.66999999999999</v>
      </c>
      <c r="H368">
        <v>0.17</v>
      </c>
      <c r="I368" t="s">
        <v>28</v>
      </c>
      <c r="J368">
        <v>9</v>
      </c>
      <c r="K368">
        <v>3.1</v>
      </c>
      <c r="L368">
        <v>506.86</v>
      </c>
    </row>
    <row r="369" spans="1:12">
      <c r="A369">
        <v>10368</v>
      </c>
      <c r="B369" t="s">
        <v>403</v>
      </c>
      <c r="C369">
        <v>1001</v>
      </c>
      <c r="D369" t="s">
        <v>55</v>
      </c>
      <c r="E369" t="s">
        <v>30</v>
      </c>
      <c r="F369">
        <v>2</v>
      </c>
      <c r="G369">
        <v>341.15</v>
      </c>
      <c r="H369">
        <v>0.3</v>
      </c>
      <c r="I369" t="s">
        <v>15</v>
      </c>
      <c r="J369">
        <v>2</v>
      </c>
      <c r="K369">
        <v>2.8</v>
      </c>
      <c r="L369">
        <v>477.61</v>
      </c>
    </row>
    <row r="370" spans="1:12">
      <c r="A370">
        <v>10369</v>
      </c>
      <c r="B370" t="s">
        <v>404</v>
      </c>
      <c r="C370">
        <v>1896</v>
      </c>
      <c r="D370" t="s">
        <v>27</v>
      </c>
      <c r="E370" t="s">
        <v>32</v>
      </c>
      <c r="F370">
        <v>2</v>
      </c>
      <c r="G370">
        <v>574.78</v>
      </c>
      <c r="H370">
        <v>0.19</v>
      </c>
      <c r="I370" t="s">
        <v>31</v>
      </c>
      <c r="J370">
        <v>8</v>
      </c>
      <c r="K370">
        <v>3.7</v>
      </c>
      <c r="L370">
        <v>931.14</v>
      </c>
    </row>
    <row r="371" spans="1:12">
      <c r="A371">
        <v>10370</v>
      </c>
      <c r="B371" t="s">
        <v>405</v>
      </c>
      <c r="C371">
        <v>1303</v>
      </c>
      <c r="D371" t="s">
        <v>13</v>
      </c>
      <c r="E371" t="s">
        <v>14</v>
      </c>
      <c r="F371">
        <v>7</v>
      </c>
      <c r="G371">
        <v>529.25</v>
      </c>
      <c r="H371">
        <v>0.02</v>
      </c>
      <c r="I371" t="s">
        <v>28</v>
      </c>
      <c r="J371">
        <v>7</v>
      </c>
      <c r="K371">
        <v>1.3</v>
      </c>
      <c r="L371">
        <v>3630.66</v>
      </c>
    </row>
    <row r="372" spans="1:12">
      <c r="A372">
        <v>10371</v>
      </c>
      <c r="B372" t="s">
        <v>406</v>
      </c>
      <c r="C372">
        <v>1253</v>
      </c>
      <c r="D372" t="s">
        <v>34</v>
      </c>
      <c r="E372" t="s">
        <v>43</v>
      </c>
      <c r="F372">
        <v>7</v>
      </c>
      <c r="G372">
        <v>251.64</v>
      </c>
      <c r="H372">
        <v>0.34</v>
      </c>
      <c r="I372" t="s">
        <v>31</v>
      </c>
      <c r="J372">
        <v>2</v>
      </c>
      <c r="K372">
        <v>4.5</v>
      </c>
      <c r="L372">
        <v>1162.58</v>
      </c>
    </row>
    <row r="373" spans="1:12">
      <c r="A373">
        <v>10372</v>
      </c>
      <c r="B373" t="s">
        <v>407</v>
      </c>
      <c r="C373">
        <v>1651</v>
      </c>
      <c r="D373" t="s">
        <v>34</v>
      </c>
      <c r="E373" t="s">
        <v>14</v>
      </c>
      <c r="F373">
        <v>1</v>
      </c>
      <c r="G373">
        <v>185.54</v>
      </c>
      <c r="H373">
        <v>0.28999999999999998</v>
      </c>
      <c r="I373" t="s">
        <v>15</v>
      </c>
      <c r="J373">
        <v>5</v>
      </c>
      <c r="K373">
        <v>3</v>
      </c>
      <c r="L373">
        <v>131.72999999999999</v>
      </c>
    </row>
    <row r="374" spans="1:12">
      <c r="A374">
        <v>10373</v>
      </c>
      <c r="B374" t="s">
        <v>408</v>
      </c>
      <c r="C374">
        <v>1452</v>
      </c>
      <c r="D374" t="s">
        <v>27</v>
      </c>
      <c r="E374" t="s">
        <v>43</v>
      </c>
      <c r="F374">
        <v>2</v>
      </c>
      <c r="G374">
        <v>152.13</v>
      </c>
      <c r="H374">
        <v>0.05</v>
      </c>
      <c r="I374" t="s">
        <v>28</v>
      </c>
      <c r="J374">
        <v>7</v>
      </c>
      <c r="K374">
        <v>4.5</v>
      </c>
      <c r="L374">
        <v>289.05</v>
      </c>
    </row>
    <row r="375" spans="1:12">
      <c r="A375">
        <v>10374</v>
      </c>
      <c r="B375" t="s">
        <v>409</v>
      </c>
      <c r="C375">
        <v>1036</v>
      </c>
      <c r="D375" t="s">
        <v>34</v>
      </c>
      <c r="E375" t="s">
        <v>14</v>
      </c>
      <c r="F375">
        <v>4</v>
      </c>
      <c r="G375">
        <v>326.52</v>
      </c>
      <c r="H375">
        <v>0.32</v>
      </c>
      <c r="I375" t="s">
        <v>15</v>
      </c>
      <c r="J375">
        <v>3</v>
      </c>
      <c r="K375">
        <v>2.4</v>
      </c>
      <c r="L375">
        <v>888.13</v>
      </c>
    </row>
    <row r="376" spans="1:12">
      <c r="A376">
        <v>10375</v>
      </c>
      <c r="B376" t="s">
        <v>410</v>
      </c>
      <c r="C376">
        <v>1159</v>
      </c>
      <c r="D376" t="s">
        <v>55</v>
      </c>
      <c r="E376" t="s">
        <v>14</v>
      </c>
      <c r="F376">
        <v>1</v>
      </c>
      <c r="G376">
        <v>81.84</v>
      </c>
      <c r="H376">
        <v>0.16</v>
      </c>
      <c r="I376" t="s">
        <v>28</v>
      </c>
      <c r="J376">
        <v>2</v>
      </c>
      <c r="K376">
        <v>3.6</v>
      </c>
      <c r="L376">
        <v>68.75</v>
      </c>
    </row>
    <row r="377" spans="1:12">
      <c r="A377">
        <v>10376</v>
      </c>
      <c r="B377" t="s">
        <v>411</v>
      </c>
      <c r="C377">
        <v>1008</v>
      </c>
      <c r="D377" t="s">
        <v>55</v>
      </c>
      <c r="E377" t="s">
        <v>43</v>
      </c>
      <c r="F377">
        <v>5</v>
      </c>
      <c r="G377">
        <v>336.33</v>
      </c>
      <c r="H377">
        <v>0.13</v>
      </c>
      <c r="I377" t="s">
        <v>31</v>
      </c>
      <c r="J377">
        <v>6</v>
      </c>
      <c r="K377">
        <v>4.8</v>
      </c>
      <c r="L377">
        <v>1463.04</v>
      </c>
    </row>
    <row r="378" spans="1:12">
      <c r="A378">
        <v>10377</v>
      </c>
      <c r="B378" t="s">
        <v>412</v>
      </c>
      <c r="C378">
        <v>1232</v>
      </c>
      <c r="D378" t="s">
        <v>34</v>
      </c>
      <c r="E378" t="s">
        <v>43</v>
      </c>
      <c r="F378">
        <v>1</v>
      </c>
      <c r="G378">
        <v>15.78</v>
      </c>
      <c r="H378">
        <v>0.16</v>
      </c>
      <c r="I378" t="s">
        <v>15</v>
      </c>
      <c r="J378">
        <v>10</v>
      </c>
      <c r="K378">
        <v>4.8</v>
      </c>
      <c r="L378">
        <v>13.26</v>
      </c>
    </row>
    <row r="379" spans="1:12">
      <c r="A379">
        <v>10378</v>
      </c>
      <c r="B379" t="s">
        <v>413</v>
      </c>
      <c r="C379">
        <v>1098</v>
      </c>
      <c r="D379" t="s">
        <v>27</v>
      </c>
      <c r="E379" t="s">
        <v>14</v>
      </c>
      <c r="F379">
        <v>1</v>
      </c>
      <c r="G379">
        <v>204.45</v>
      </c>
      <c r="H379">
        <v>0.28999999999999998</v>
      </c>
      <c r="I379" t="s">
        <v>15</v>
      </c>
      <c r="J379">
        <v>6</v>
      </c>
      <c r="K379">
        <v>4.8</v>
      </c>
      <c r="L379">
        <v>145.16</v>
      </c>
    </row>
    <row r="380" spans="1:12">
      <c r="A380">
        <v>10379</v>
      </c>
      <c r="B380" t="s">
        <v>414</v>
      </c>
      <c r="C380">
        <v>1658</v>
      </c>
      <c r="D380" t="s">
        <v>27</v>
      </c>
      <c r="E380" t="s">
        <v>14</v>
      </c>
      <c r="F380">
        <v>5</v>
      </c>
      <c r="G380">
        <v>143.66</v>
      </c>
      <c r="H380">
        <v>0.23</v>
      </c>
      <c r="I380" t="s">
        <v>31</v>
      </c>
      <c r="J380">
        <v>11</v>
      </c>
      <c r="K380">
        <v>1.2</v>
      </c>
      <c r="L380">
        <v>553.09</v>
      </c>
    </row>
    <row r="381" spans="1:12">
      <c r="A381">
        <v>10380</v>
      </c>
      <c r="B381" t="s">
        <v>415</v>
      </c>
      <c r="C381">
        <v>1815</v>
      </c>
      <c r="D381" t="s">
        <v>27</v>
      </c>
      <c r="E381" t="s">
        <v>14</v>
      </c>
      <c r="F381">
        <v>6</v>
      </c>
      <c r="G381">
        <v>583.16</v>
      </c>
      <c r="H381">
        <v>0.02</v>
      </c>
      <c r="I381" t="s">
        <v>31</v>
      </c>
      <c r="J381">
        <v>4</v>
      </c>
      <c r="K381">
        <v>2.6</v>
      </c>
      <c r="L381">
        <v>3428.98</v>
      </c>
    </row>
    <row r="382" spans="1:12">
      <c r="A382">
        <v>10381</v>
      </c>
      <c r="B382" t="s">
        <v>416</v>
      </c>
      <c r="C382">
        <v>1207</v>
      </c>
      <c r="D382" t="s">
        <v>13</v>
      </c>
      <c r="E382" t="s">
        <v>32</v>
      </c>
      <c r="F382">
        <v>7</v>
      </c>
      <c r="G382">
        <v>440.44</v>
      </c>
      <c r="H382">
        <v>0.34</v>
      </c>
      <c r="I382" t="s">
        <v>28</v>
      </c>
      <c r="J382">
        <v>1</v>
      </c>
      <c r="K382">
        <v>1.2</v>
      </c>
      <c r="L382">
        <v>2034.83</v>
      </c>
    </row>
    <row r="383" spans="1:12">
      <c r="A383">
        <v>10382</v>
      </c>
      <c r="B383" t="s">
        <v>417</v>
      </c>
      <c r="C383">
        <v>1130</v>
      </c>
      <c r="D383" t="s">
        <v>55</v>
      </c>
      <c r="E383" t="s">
        <v>32</v>
      </c>
      <c r="F383">
        <v>4</v>
      </c>
      <c r="G383">
        <v>219.55</v>
      </c>
      <c r="H383">
        <v>0.05</v>
      </c>
      <c r="I383" t="s">
        <v>28</v>
      </c>
      <c r="J383">
        <v>5</v>
      </c>
      <c r="K383">
        <v>2.2000000000000002</v>
      </c>
      <c r="L383">
        <v>834.29</v>
      </c>
    </row>
    <row r="384" spans="1:12">
      <c r="A384">
        <v>10383</v>
      </c>
      <c r="B384" t="s">
        <v>418</v>
      </c>
      <c r="C384">
        <v>1403</v>
      </c>
      <c r="D384" t="s">
        <v>55</v>
      </c>
      <c r="E384" t="s">
        <v>30</v>
      </c>
      <c r="F384">
        <v>6</v>
      </c>
      <c r="G384">
        <v>69.31</v>
      </c>
      <c r="H384">
        <v>0.26</v>
      </c>
      <c r="I384" t="s">
        <v>28</v>
      </c>
      <c r="J384">
        <v>1</v>
      </c>
      <c r="K384">
        <v>1.7</v>
      </c>
      <c r="L384">
        <v>307.74</v>
      </c>
    </row>
    <row r="385" spans="1:12">
      <c r="A385">
        <v>10384</v>
      </c>
      <c r="B385" t="s">
        <v>419</v>
      </c>
      <c r="C385">
        <v>1151</v>
      </c>
      <c r="D385" t="s">
        <v>55</v>
      </c>
      <c r="E385" t="s">
        <v>32</v>
      </c>
      <c r="F385">
        <v>6</v>
      </c>
      <c r="G385">
        <v>317.33</v>
      </c>
      <c r="H385">
        <v>0.22</v>
      </c>
      <c r="I385" t="s">
        <v>28</v>
      </c>
      <c r="J385">
        <v>11</v>
      </c>
      <c r="K385">
        <v>3.5</v>
      </c>
      <c r="L385">
        <v>1485.1</v>
      </c>
    </row>
    <row r="386" spans="1:12">
      <c r="A386">
        <v>10385</v>
      </c>
      <c r="B386" t="s">
        <v>420</v>
      </c>
      <c r="C386">
        <v>1053</v>
      </c>
      <c r="D386" t="s">
        <v>27</v>
      </c>
      <c r="E386" t="s">
        <v>32</v>
      </c>
      <c r="F386">
        <v>6</v>
      </c>
      <c r="G386">
        <v>139.87</v>
      </c>
      <c r="H386">
        <v>7.0000000000000007E-2</v>
      </c>
      <c r="I386" t="s">
        <v>28</v>
      </c>
      <c r="J386">
        <v>11</v>
      </c>
      <c r="K386">
        <v>4.0999999999999996</v>
      </c>
      <c r="L386">
        <v>780.47</v>
      </c>
    </row>
    <row r="387" spans="1:12">
      <c r="A387">
        <v>10386</v>
      </c>
      <c r="B387" t="s">
        <v>421</v>
      </c>
      <c r="C387">
        <v>1119</v>
      </c>
      <c r="D387" t="s">
        <v>13</v>
      </c>
      <c r="E387" t="s">
        <v>43</v>
      </c>
      <c r="F387">
        <v>7</v>
      </c>
      <c r="G387">
        <v>328.81</v>
      </c>
      <c r="H387">
        <v>0.06</v>
      </c>
      <c r="I387" t="s">
        <v>28</v>
      </c>
      <c r="J387">
        <v>8</v>
      </c>
      <c r="K387">
        <v>3.1</v>
      </c>
      <c r="L387">
        <v>2163.5700000000002</v>
      </c>
    </row>
    <row r="388" spans="1:12">
      <c r="A388">
        <v>10387</v>
      </c>
      <c r="B388" t="s">
        <v>422</v>
      </c>
      <c r="C388">
        <v>1672</v>
      </c>
      <c r="D388" t="s">
        <v>55</v>
      </c>
      <c r="E388" t="s">
        <v>30</v>
      </c>
      <c r="F388">
        <v>3</v>
      </c>
      <c r="G388">
        <v>503.69</v>
      </c>
      <c r="H388">
        <v>0.3</v>
      </c>
      <c r="I388" t="s">
        <v>15</v>
      </c>
      <c r="J388">
        <v>2</v>
      </c>
      <c r="K388">
        <v>4.2</v>
      </c>
      <c r="L388">
        <v>1057.75</v>
      </c>
    </row>
    <row r="389" spans="1:12">
      <c r="A389">
        <v>10388</v>
      </c>
      <c r="B389" t="s">
        <v>423</v>
      </c>
      <c r="C389">
        <v>1919</v>
      </c>
      <c r="D389" t="s">
        <v>55</v>
      </c>
      <c r="E389" t="s">
        <v>30</v>
      </c>
      <c r="F389">
        <v>7</v>
      </c>
      <c r="G389">
        <v>375.24</v>
      </c>
      <c r="H389">
        <v>0.15</v>
      </c>
      <c r="I389" t="s">
        <v>31</v>
      </c>
      <c r="J389">
        <v>9</v>
      </c>
      <c r="K389">
        <v>1.1000000000000001</v>
      </c>
      <c r="L389">
        <v>2232.6799999999998</v>
      </c>
    </row>
    <row r="390" spans="1:12">
      <c r="A390">
        <v>10389</v>
      </c>
      <c r="B390" t="s">
        <v>424</v>
      </c>
      <c r="C390">
        <v>1627</v>
      </c>
      <c r="D390" t="s">
        <v>13</v>
      </c>
      <c r="E390" t="s">
        <v>32</v>
      </c>
      <c r="F390">
        <v>6</v>
      </c>
      <c r="G390">
        <v>385.77</v>
      </c>
      <c r="H390">
        <v>0.23</v>
      </c>
      <c r="I390" t="s">
        <v>28</v>
      </c>
      <c r="J390">
        <v>9</v>
      </c>
      <c r="K390">
        <v>4.3</v>
      </c>
      <c r="L390">
        <v>1782.26</v>
      </c>
    </row>
    <row r="391" spans="1:12">
      <c r="A391">
        <v>10390</v>
      </c>
      <c r="B391" t="s">
        <v>425</v>
      </c>
      <c r="C391">
        <v>1586</v>
      </c>
      <c r="D391" t="s">
        <v>34</v>
      </c>
      <c r="E391" t="s">
        <v>43</v>
      </c>
      <c r="F391">
        <v>3</v>
      </c>
      <c r="G391">
        <v>331.5</v>
      </c>
      <c r="H391">
        <v>0.18</v>
      </c>
      <c r="I391" t="s">
        <v>15</v>
      </c>
      <c r="J391">
        <v>3</v>
      </c>
      <c r="K391">
        <v>1.7</v>
      </c>
      <c r="L391">
        <v>815.49</v>
      </c>
    </row>
    <row r="392" spans="1:12">
      <c r="A392">
        <v>10391</v>
      </c>
      <c r="B392" t="s">
        <v>426</v>
      </c>
      <c r="C392">
        <v>1624</v>
      </c>
      <c r="D392" t="s">
        <v>55</v>
      </c>
      <c r="E392" t="s">
        <v>43</v>
      </c>
      <c r="F392">
        <v>5</v>
      </c>
      <c r="G392">
        <v>557.45000000000005</v>
      </c>
      <c r="H392">
        <v>0.25</v>
      </c>
      <c r="I392" t="s">
        <v>28</v>
      </c>
      <c r="J392">
        <v>6</v>
      </c>
      <c r="K392">
        <v>2.8</v>
      </c>
      <c r="L392">
        <v>2090.44</v>
      </c>
    </row>
    <row r="393" spans="1:12">
      <c r="A393">
        <v>10392</v>
      </c>
      <c r="B393" t="s">
        <v>427</v>
      </c>
      <c r="C393">
        <v>1967</v>
      </c>
      <c r="D393" t="s">
        <v>34</v>
      </c>
      <c r="E393" t="s">
        <v>30</v>
      </c>
      <c r="F393">
        <v>7</v>
      </c>
      <c r="G393">
        <v>560.16</v>
      </c>
      <c r="H393">
        <v>0.17</v>
      </c>
      <c r="I393" t="s">
        <v>31</v>
      </c>
      <c r="J393">
        <v>9</v>
      </c>
      <c r="K393">
        <v>2.8</v>
      </c>
      <c r="L393">
        <v>3254.53</v>
      </c>
    </row>
    <row r="394" spans="1:12">
      <c r="A394">
        <v>10393</v>
      </c>
      <c r="B394" t="s">
        <v>428</v>
      </c>
      <c r="C394">
        <v>1419</v>
      </c>
      <c r="D394" t="s">
        <v>34</v>
      </c>
      <c r="E394" t="s">
        <v>43</v>
      </c>
      <c r="F394">
        <v>4</v>
      </c>
      <c r="G394">
        <v>314.94</v>
      </c>
      <c r="H394">
        <v>0.1</v>
      </c>
      <c r="I394" t="s">
        <v>31</v>
      </c>
      <c r="J394">
        <v>7</v>
      </c>
      <c r="K394">
        <v>4.5</v>
      </c>
      <c r="L394">
        <v>1133.78</v>
      </c>
    </row>
    <row r="395" spans="1:12">
      <c r="A395">
        <v>10394</v>
      </c>
      <c r="B395" t="s">
        <v>429</v>
      </c>
      <c r="C395">
        <v>1421</v>
      </c>
      <c r="D395" t="s">
        <v>34</v>
      </c>
      <c r="E395" t="s">
        <v>14</v>
      </c>
      <c r="F395">
        <v>6</v>
      </c>
      <c r="G395">
        <v>193.87</v>
      </c>
      <c r="H395">
        <v>0.13</v>
      </c>
      <c r="I395" t="s">
        <v>28</v>
      </c>
      <c r="J395">
        <v>4</v>
      </c>
      <c r="K395">
        <v>4.9000000000000004</v>
      </c>
      <c r="L395">
        <v>1012</v>
      </c>
    </row>
    <row r="396" spans="1:12">
      <c r="A396">
        <v>10395</v>
      </c>
      <c r="B396" t="s">
        <v>430</v>
      </c>
      <c r="C396">
        <v>1103</v>
      </c>
      <c r="D396" t="s">
        <v>13</v>
      </c>
      <c r="E396" t="s">
        <v>32</v>
      </c>
      <c r="F396">
        <v>2</v>
      </c>
      <c r="G396">
        <v>283.86</v>
      </c>
      <c r="H396">
        <v>0.3</v>
      </c>
      <c r="I396" t="s">
        <v>31</v>
      </c>
      <c r="J396">
        <v>3</v>
      </c>
      <c r="K396">
        <v>2</v>
      </c>
      <c r="L396">
        <v>397.4</v>
      </c>
    </row>
    <row r="397" spans="1:12">
      <c r="A397">
        <v>10396</v>
      </c>
      <c r="B397" t="s">
        <v>431</v>
      </c>
      <c r="C397">
        <v>1851</v>
      </c>
      <c r="D397" t="s">
        <v>13</v>
      </c>
      <c r="E397" t="s">
        <v>14</v>
      </c>
      <c r="F397">
        <v>5</v>
      </c>
      <c r="G397">
        <v>124.14</v>
      </c>
      <c r="H397">
        <v>0.16</v>
      </c>
      <c r="I397" t="s">
        <v>28</v>
      </c>
      <c r="J397">
        <v>2</v>
      </c>
      <c r="K397">
        <v>1.3</v>
      </c>
      <c r="L397">
        <v>521.39</v>
      </c>
    </row>
    <row r="398" spans="1:12">
      <c r="A398">
        <v>10397</v>
      </c>
      <c r="B398" t="s">
        <v>432</v>
      </c>
      <c r="C398">
        <v>1253</v>
      </c>
      <c r="D398" t="s">
        <v>55</v>
      </c>
      <c r="E398" t="s">
        <v>30</v>
      </c>
      <c r="F398">
        <v>3</v>
      </c>
      <c r="G398">
        <v>387.26</v>
      </c>
      <c r="H398">
        <v>7.0000000000000007E-2</v>
      </c>
      <c r="I398" t="s">
        <v>28</v>
      </c>
      <c r="J398">
        <v>10</v>
      </c>
      <c r="K398">
        <v>3.6</v>
      </c>
      <c r="L398">
        <v>1080.46</v>
      </c>
    </row>
    <row r="399" spans="1:12">
      <c r="A399">
        <v>10398</v>
      </c>
      <c r="B399" t="s">
        <v>433</v>
      </c>
      <c r="C399">
        <v>1226</v>
      </c>
      <c r="D399" t="s">
        <v>55</v>
      </c>
      <c r="E399" t="s">
        <v>30</v>
      </c>
      <c r="F399">
        <v>7</v>
      </c>
      <c r="G399">
        <v>307.55</v>
      </c>
      <c r="H399">
        <v>0.33</v>
      </c>
      <c r="I399" t="s">
        <v>28</v>
      </c>
      <c r="J399">
        <v>10</v>
      </c>
      <c r="K399">
        <v>3</v>
      </c>
      <c r="L399">
        <v>1442.41</v>
      </c>
    </row>
    <row r="400" spans="1:12">
      <c r="A400">
        <v>10399</v>
      </c>
      <c r="B400" t="s">
        <v>434</v>
      </c>
      <c r="C400">
        <v>1111</v>
      </c>
      <c r="D400" t="s">
        <v>27</v>
      </c>
      <c r="E400" t="s">
        <v>43</v>
      </c>
      <c r="F400">
        <v>4</v>
      </c>
      <c r="G400">
        <v>75.430000000000007</v>
      </c>
      <c r="H400">
        <v>0.28000000000000003</v>
      </c>
      <c r="I400" t="s">
        <v>15</v>
      </c>
      <c r="J400">
        <v>1</v>
      </c>
      <c r="K400">
        <v>3.3</v>
      </c>
      <c r="L400">
        <v>217.24</v>
      </c>
    </row>
    <row r="401" spans="1:12">
      <c r="A401">
        <v>10400</v>
      </c>
      <c r="B401" t="s">
        <v>435</v>
      </c>
      <c r="C401">
        <v>1509</v>
      </c>
      <c r="D401" t="s">
        <v>13</v>
      </c>
      <c r="E401" t="s">
        <v>43</v>
      </c>
      <c r="F401">
        <v>1</v>
      </c>
      <c r="G401">
        <v>130.62</v>
      </c>
      <c r="H401">
        <v>0.02</v>
      </c>
      <c r="I401" t="s">
        <v>31</v>
      </c>
      <c r="J401">
        <v>11</v>
      </c>
      <c r="K401">
        <v>1.2</v>
      </c>
      <c r="L401">
        <v>128.01</v>
      </c>
    </row>
    <row r="402" spans="1:12">
      <c r="A402">
        <v>10401</v>
      </c>
      <c r="B402" t="s">
        <v>436</v>
      </c>
      <c r="C402">
        <v>1472</v>
      </c>
      <c r="D402" t="s">
        <v>27</v>
      </c>
      <c r="E402" t="s">
        <v>30</v>
      </c>
      <c r="F402">
        <v>4</v>
      </c>
      <c r="G402">
        <v>295.58</v>
      </c>
      <c r="H402">
        <v>0.35</v>
      </c>
      <c r="I402" t="s">
        <v>31</v>
      </c>
      <c r="J402">
        <v>10</v>
      </c>
      <c r="K402">
        <v>4.0999999999999996</v>
      </c>
      <c r="L402">
        <v>768.51</v>
      </c>
    </row>
    <row r="403" spans="1:12">
      <c r="A403">
        <v>10402</v>
      </c>
      <c r="B403" t="s">
        <v>437</v>
      </c>
      <c r="C403">
        <v>1098</v>
      </c>
      <c r="D403" t="s">
        <v>27</v>
      </c>
      <c r="E403" t="s">
        <v>30</v>
      </c>
      <c r="F403">
        <v>4</v>
      </c>
      <c r="G403">
        <v>534.24</v>
      </c>
      <c r="H403">
        <v>0.24</v>
      </c>
      <c r="I403" t="s">
        <v>31</v>
      </c>
      <c r="J403">
        <v>11</v>
      </c>
      <c r="K403">
        <v>1.9</v>
      </c>
      <c r="L403">
        <v>1624.09</v>
      </c>
    </row>
    <row r="404" spans="1:12">
      <c r="A404">
        <v>10403</v>
      </c>
      <c r="B404" t="s">
        <v>438</v>
      </c>
      <c r="C404">
        <v>1152</v>
      </c>
      <c r="D404" t="s">
        <v>34</v>
      </c>
      <c r="E404" t="s">
        <v>14</v>
      </c>
      <c r="F404">
        <v>6</v>
      </c>
      <c r="G404">
        <v>346.34</v>
      </c>
      <c r="H404">
        <v>0.06</v>
      </c>
      <c r="I404" t="s">
        <v>28</v>
      </c>
      <c r="J404">
        <v>1</v>
      </c>
      <c r="K404">
        <v>2.2999999999999998</v>
      </c>
      <c r="L404">
        <v>1953.36</v>
      </c>
    </row>
    <row r="405" spans="1:12">
      <c r="A405">
        <v>10404</v>
      </c>
      <c r="B405" t="s">
        <v>439</v>
      </c>
      <c r="C405">
        <v>1860</v>
      </c>
      <c r="D405" t="s">
        <v>55</v>
      </c>
      <c r="E405" t="s">
        <v>14</v>
      </c>
      <c r="F405">
        <v>6</v>
      </c>
      <c r="G405">
        <v>413.7</v>
      </c>
      <c r="H405">
        <v>0.08</v>
      </c>
      <c r="I405" t="s">
        <v>31</v>
      </c>
      <c r="J405">
        <v>4</v>
      </c>
      <c r="K405">
        <v>1.9</v>
      </c>
      <c r="L405">
        <v>2283.62</v>
      </c>
    </row>
    <row r="406" spans="1:12">
      <c r="A406">
        <v>10405</v>
      </c>
      <c r="B406" t="s">
        <v>440</v>
      </c>
      <c r="C406">
        <v>1913</v>
      </c>
      <c r="D406" t="s">
        <v>55</v>
      </c>
      <c r="E406" t="s">
        <v>43</v>
      </c>
      <c r="F406">
        <v>7</v>
      </c>
      <c r="G406">
        <v>213.33</v>
      </c>
      <c r="H406">
        <v>0.24</v>
      </c>
      <c r="I406" t="s">
        <v>28</v>
      </c>
      <c r="J406">
        <v>4</v>
      </c>
      <c r="K406">
        <v>4.8</v>
      </c>
      <c r="L406">
        <v>1134.92</v>
      </c>
    </row>
    <row r="407" spans="1:12">
      <c r="A407">
        <v>10406</v>
      </c>
      <c r="B407" t="s">
        <v>441</v>
      </c>
      <c r="C407">
        <v>1895</v>
      </c>
      <c r="D407" t="s">
        <v>27</v>
      </c>
      <c r="E407" t="s">
        <v>14</v>
      </c>
      <c r="F407">
        <v>7</v>
      </c>
      <c r="G407">
        <v>349.28</v>
      </c>
      <c r="H407">
        <v>0.27</v>
      </c>
      <c r="I407" t="s">
        <v>28</v>
      </c>
      <c r="J407">
        <v>9</v>
      </c>
      <c r="K407">
        <v>1.7</v>
      </c>
      <c r="L407">
        <v>1784.82</v>
      </c>
    </row>
    <row r="408" spans="1:12">
      <c r="A408">
        <v>10407</v>
      </c>
      <c r="B408" t="s">
        <v>442</v>
      </c>
      <c r="C408">
        <v>1877</v>
      </c>
      <c r="D408" t="s">
        <v>34</v>
      </c>
      <c r="E408" t="s">
        <v>43</v>
      </c>
      <c r="F408">
        <v>3</v>
      </c>
      <c r="G408">
        <v>276.72000000000003</v>
      </c>
      <c r="H408">
        <v>0.08</v>
      </c>
      <c r="I408" t="s">
        <v>31</v>
      </c>
      <c r="J408">
        <v>10</v>
      </c>
      <c r="K408">
        <v>3.9</v>
      </c>
      <c r="L408">
        <v>763.75</v>
      </c>
    </row>
    <row r="409" spans="1:12">
      <c r="A409">
        <v>10408</v>
      </c>
      <c r="B409" t="s">
        <v>443</v>
      </c>
      <c r="C409">
        <v>1337</v>
      </c>
      <c r="D409" t="s">
        <v>55</v>
      </c>
      <c r="E409" t="s">
        <v>43</v>
      </c>
      <c r="F409">
        <v>7</v>
      </c>
      <c r="G409">
        <v>400.59</v>
      </c>
      <c r="H409">
        <v>0.09</v>
      </c>
      <c r="I409" t="s">
        <v>28</v>
      </c>
      <c r="J409">
        <v>1</v>
      </c>
      <c r="K409">
        <v>2</v>
      </c>
      <c r="L409">
        <v>2551.7600000000002</v>
      </c>
    </row>
    <row r="410" spans="1:12">
      <c r="A410">
        <v>10409</v>
      </c>
      <c r="B410" t="s">
        <v>444</v>
      </c>
      <c r="C410">
        <v>1705</v>
      </c>
      <c r="D410" t="s">
        <v>34</v>
      </c>
      <c r="E410" t="s">
        <v>32</v>
      </c>
      <c r="F410">
        <v>3</v>
      </c>
      <c r="G410">
        <v>44.59</v>
      </c>
      <c r="H410">
        <v>0.11</v>
      </c>
      <c r="I410" t="s">
        <v>28</v>
      </c>
      <c r="J410">
        <v>11</v>
      </c>
      <c r="K410">
        <v>2.7</v>
      </c>
      <c r="L410">
        <v>119.06</v>
      </c>
    </row>
    <row r="411" spans="1:12">
      <c r="A411">
        <v>10410</v>
      </c>
      <c r="B411" t="s">
        <v>445</v>
      </c>
      <c r="C411">
        <v>1821</v>
      </c>
      <c r="D411" t="s">
        <v>55</v>
      </c>
      <c r="E411" t="s">
        <v>43</v>
      </c>
      <c r="F411">
        <v>6</v>
      </c>
      <c r="G411">
        <v>303.58</v>
      </c>
      <c r="H411">
        <v>0.21</v>
      </c>
      <c r="I411" t="s">
        <v>15</v>
      </c>
      <c r="J411">
        <v>4</v>
      </c>
      <c r="K411">
        <v>5</v>
      </c>
      <c r="L411">
        <v>1438.97</v>
      </c>
    </row>
    <row r="412" spans="1:12">
      <c r="A412">
        <v>10411</v>
      </c>
      <c r="B412" t="s">
        <v>446</v>
      </c>
      <c r="C412">
        <v>1162</v>
      </c>
      <c r="D412" t="s">
        <v>13</v>
      </c>
      <c r="E412" t="s">
        <v>14</v>
      </c>
      <c r="F412">
        <v>6</v>
      </c>
      <c r="G412">
        <v>188.16</v>
      </c>
      <c r="H412">
        <v>0.06</v>
      </c>
      <c r="I412" t="s">
        <v>31</v>
      </c>
      <c r="J412">
        <v>3</v>
      </c>
      <c r="K412">
        <v>1.4</v>
      </c>
      <c r="L412">
        <v>1061.22</v>
      </c>
    </row>
    <row r="413" spans="1:12">
      <c r="A413">
        <v>10412</v>
      </c>
      <c r="B413" t="s">
        <v>447</v>
      </c>
      <c r="C413">
        <v>1719</v>
      </c>
      <c r="D413" t="s">
        <v>27</v>
      </c>
      <c r="E413" t="s">
        <v>30</v>
      </c>
      <c r="F413">
        <v>2</v>
      </c>
      <c r="G413">
        <v>205.82</v>
      </c>
      <c r="H413">
        <v>0.04</v>
      </c>
      <c r="I413" t="s">
        <v>31</v>
      </c>
      <c r="J413">
        <v>9</v>
      </c>
      <c r="K413">
        <v>4.5</v>
      </c>
      <c r="L413">
        <v>395.17</v>
      </c>
    </row>
    <row r="414" spans="1:12">
      <c r="A414">
        <v>10413</v>
      </c>
      <c r="B414" t="s">
        <v>448</v>
      </c>
      <c r="C414">
        <v>1956</v>
      </c>
      <c r="D414" t="s">
        <v>34</v>
      </c>
      <c r="E414" t="s">
        <v>30</v>
      </c>
      <c r="F414">
        <v>2</v>
      </c>
      <c r="G414">
        <v>577.14</v>
      </c>
      <c r="H414">
        <v>0.24</v>
      </c>
      <c r="I414" t="s">
        <v>28</v>
      </c>
      <c r="J414">
        <v>5</v>
      </c>
      <c r="K414">
        <v>4.8</v>
      </c>
      <c r="L414">
        <v>877.25</v>
      </c>
    </row>
    <row r="415" spans="1:12">
      <c r="A415">
        <v>10414</v>
      </c>
      <c r="B415" t="s">
        <v>449</v>
      </c>
      <c r="C415">
        <v>1680</v>
      </c>
      <c r="D415" t="s">
        <v>55</v>
      </c>
      <c r="E415" t="s">
        <v>14</v>
      </c>
      <c r="F415">
        <v>5</v>
      </c>
      <c r="G415">
        <v>121.88</v>
      </c>
      <c r="H415">
        <v>0.27</v>
      </c>
      <c r="I415" t="s">
        <v>28</v>
      </c>
      <c r="J415">
        <v>9</v>
      </c>
      <c r="K415">
        <v>3.8</v>
      </c>
      <c r="L415">
        <v>444.86</v>
      </c>
    </row>
    <row r="416" spans="1:12">
      <c r="A416">
        <v>10415</v>
      </c>
      <c r="B416" t="s">
        <v>450</v>
      </c>
      <c r="C416">
        <v>1995</v>
      </c>
      <c r="D416" t="s">
        <v>55</v>
      </c>
      <c r="E416" t="s">
        <v>30</v>
      </c>
      <c r="F416">
        <v>6</v>
      </c>
      <c r="G416">
        <v>197.08</v>
      </c>
      <c r="H416">
        <v>0.18</v>
      </c>
      <c r="I416" t="s">
        <v>31</v>
      </c>
      <c r="J416">
        <v>10</v>
      </c>
      <c r="K416">
        <v>1</v>
      </c>
      <c r="L416">
        <v>969.63</v>
      </c>
    </row>
    <row r="417" spans="1:12">
      <c r="A417">
        <v>10416</v>
      </c>
      <c r="B417" t="s">
        <v>451</v>
      </c>
      <c r="C417">
        <v>1160</v>
      </c>
      <c r="D417" t="s">
        <v>27</v>
      </c>
      <c r="E417" t="s">
        <v>43</v>
      </c>
      <c r="F417">
        <v>1</v>
      </c>
      <c r="G417">
        <v>313.29000000000002</v>
      </c>
      <c r="H417">
        <v>0.13</v>
      </c>
      <c r="I417" t="s">
        <v>31</v>
      </c>
      <c r="J417">
        <v>6</v>
      </c>
      <c r="K417">
        <v>4.3</v>
      </c>
      <c r="L417">
        <v>272.56</v>
      </c>
    </row>
    <row r="418" spans="1:12">
      <c r="A418">
        <v>10417</v>
      </c>
      <c r="B418" t="s">
        <v>452</v>
      </c>
      <c r="C418">
        <v>1579</v>
      </c>
      <c r="D418" t="s">
        <v>13</v>
      </c>
      <c r="E418" t="s">
        <v>30</v>
      </c>
      <c r="F418">
        <v>2</v>
      </c>
      <c r="G418">
        <v>519.87</v>
      </c>
      <c r="H418">
        <v>0.15</v>
      </c>
      <c r="I418" t="s">
        <v>31</v>
      </c>
      <c r="J418">
        <v>11</v>
      </c>
      <c r="K418">
        <v>4.5</v>
      </c>
      <c r="L418">
        <v>883.78</v>
      </c>
    </row>
    <row r="419" spans="1:12">
      <c r="A419">
        <v>10418</v>
      </c>
      <c r="B419" t="s">
        <v>453</v>
      </c>
      <c r="C419">
        <v>1800</v>
      </c>
      <c r="D419" t="s">
        <v>34</v>
      </c>
      <c r="E419" t="s">
        <v>14</v>
      </c>
      <c r="F419">
        <v>3</v>
      </c>
      <c r="G419">
        <v>258.75</v>
      </c>
      <c r="H419">
        <v>0.14000000000000001</v>
      </c>
      <c r="I419" t="s">
        <v>15</v>
      </c>
      <c r="J419">
        <v>9</v>
      </c>
      <c r="K419">
        <v>4.9000000000000004</v>
      </c>
      <c r="L419">
        <v>667.58</v>
      </c>
    </row>
    <row r="420" spans="1:12">
      <c r="A420">
        <v>10419</v>
      </c>
      <c r="B420" t="s">
        <v>454</v>
      </c>
      <c r="C420">
        <v>1397</v>
      </c>
      <c r="D420" t="s">
        <v>27</v>
      </c>
      <c r="E420" t="s">
        <v>30</v>
      </c>
      <c r="F420">
        <v>4</v>
      </c>
      <c r="G420">
        <v>450.16</v>
      </c>
      <c r="H420">
        <v>0.34</v>
      </c>
      <c r="I420" t="s">
        <v>15</v>
      </c>
      <c r="J420">
        <v>1</v>
      </c>
      <c r="K420">
        <v>4.4000000000000004</v>
      </c>
      <c r="L420">
        <v>1188.42</v>
      </c>
    </row>
    <row r="421" spans="1:12">
      <c r="A421">
        <v>10420</v>
      </c>
      <c r="B421" t="s">
        <v>455</v>
      </c>
      <c r="C421">
        <v>1276</v>
      </c>
      <c r="D421" t="s">
        <v>55</v>
      </c>
      <c r="E421" t="s">
        <v>43</v>
      </c>
      <c r="F421">
        <v>7</v>
      </c>
      <c r="G421">
        <v>515.98</v>
      </c>
      <c r="H421">
        <v>0.27</v>
      </c>
      <c r="I421" t="s">
        <v>28</v>
      </c>
      <c r="J421">
        <v>4</v>
      </c>
      <c r="K421">
        <v>2.8</v>
      </c>
      <c r="L421">
        <v>2636.66</v>
      </c>
    </row>
    <row r="422" spans="1:12">
      <c r="A422">
        <v>10421</v>
      </c>
      <c r="B422" t="s">
        <v>456</v>
      </c>
      <c r="C422">
        <v>1815</v>
      </c>
      <c r="D422" t="s">
        <v>13</v>
      </c>
      <c r="E422" t="s">
        <v>43</v>
      </c>
      <c r="F422">
        <v>7</v>
      </c>
      <c r="G422">
        <v>196.36</v>
      </c>
      <c r="H422">
        <v>7.0000000000000007E-2</v>
      </c>
      <c r="I422" t="s">
        <v>15</v>
      </c>
      <c r="J422">
        <v>4</v>
      </c>
      <c r="K422">
        <v>3.8</v>
      </c>
      <c r="L422">
        <v>1278.3</v>
      </c>
    </row>
    <row r="423" spans="1:12">
      <c r="A423">
        <v>10422</v>
      </c>
      <c r="B423" t="s">
        <v>457</v>
      </c>
      <c r="C423">
        <v>1915</v>
      </c>
      <c r="D423" t="s">
        <v>34</v>
      </c>
      <c r="E423" t="s">
        <v>14</v>
      </c>
      <c r="F423">
        <v>5</v>
      </c>
      <c r="G423">
        <v>244.76</v>
      </c>
      <c r="H423">
        <v>0.13</v>
      </c>
      <c r="I423" t="s">
        <v>31</v>
      </c>
      <c r="J423">
        <v>10</v>
      </c>
      <c r="K423">
        <v>2.9</v>
      </c>
      <c r="L423">
        <v>1064.71</v>
      </c>
    </row>
    <row r="424" spans="1:12">
      <c r="A424">
        <v>10423</v>
      </c>
      <c r="B424" t="s">
        <v>458</v>
      </c>
      <c r="C424">
        <v>1503</v>
      </c>
      <c r="D424" t="s">
        <v>55</v>
      </c>
      <c r="E424" t="s">
        <v>14</v>
      </c>
      <c r="F424">
        <v>2</v>
      </c>
      <c r="G424">
        <v>223.59</v>
      </c>
      <c r="H424">
        <v>0.19</v>
      </c>
      <c r="I424" t="s">
        <v>31</v>
      </c>
      <c r="J424">
        <v>10</v>
      </c>
      <c r="K424">
        <v>2.4</v>
      </c>
      <c r="L424">
        <v>362.22</v>
      </c>
    </row>
    <row r="425" spans="1:12">
      <c r="A425">
        <v>10424</v>
      </c>
      <c r="B425" t="s">
        <v>459</v>
      </c>
      <c r="C425">
        <v>1895</v>
      </c>
      <c r="D425" t="s">
        <v>27</v>
      </c>
      <c r="E425" t="s">
        <v>14</v>
      </c>
      <c r="F425">
        <v>4</v>
      </c>
      <c r="G425">
        <v>502.22</v>
      </c>
      <c r="H425">
        <v>0.21</v>
      </c>
      <c r="I425" t="s">
        <v>28</v>
      </c>
      <c r="J425">
        <v>6</v>
      </c>
      <c r="K425">
        <v>3.5</v>
      </c>
      <c r="L425">
        <v>1587.02</v>
      </c>
    </row>
    <row r="426" spans="1:12">
      <c r="A426">
        <v>10425</v>
      </c>
      <c r="B426" t="s">
        <v>460</v>
      </c>
      <c r="C426">
        <v>1391</v>
      </c>
      <c r="D426" t="s">
        <v>27</v>
      </c>
      <c r="E426" t="s">
        <v>32</v>
      </c>
      <c r="F426">
        <v>4</v>
      </c>
      <c r="G426">
        <v>40.94</v>
      </c>
      <c r="H426">
        <v>0.16</v>
      </c>
      <c r="I426" t="s">
        <v>31</v>
      </c>
      <c r="J426">
        <v>10</v>
      </c>
      <c r="K426">
        <v>4.0999999999999996</v>
      </c>
      <c r="L426">
        <v>137.56</v>
      </c>
    </row>
    <row r="427" spans="1:12">
      <c r="A427">
        <v>10426</v>
      </c>
      <c r="B427" t="s">
        <v>461</v>
      </c>
      <c r="C427">
        <v>1134</v>
      </c>
      <c r="D427" t="s">
        <v>34</v>
      </c>
      <c r="E427" t="s">
        <v>32</v>
      </c>
      <c r="F427">
        <v>2</v>
      </c>
      <c r="G427">
        <v>195.43</v>
      </c>
      <c r="H427">
        <v>0.28000000000000003</v>
      </c>
      <c r="I427" t="s">
        <v>15</v>
      </c>
      <c r="J427">
        <v>1</v>
      </c>
      <c r="K427">
        <v>3.5</v>
      </c>
      <c r="L427">
        <v>281.42</v>
      </c>
    </row>
    <row r="428" spans="1:12">
      <c r="A428">
        <v>10427</v>
      </c>
      <c r="B428" t="s">
        <v>462</v>
      </c>
      <c r="C428">
        <v>1194</v>
      </c>
      <c r="D428" t="s">
        <v>13</v>
      </c>
      <c r="E428" t="s">
        <v>43</v>
      </c>
      <c r="F428">
        <v>1</v>
      </c>
      <c r="G428">
        <v>412.45</v>
      </c>
      <c r="H428">
        <v>0.27</v>
      </c>
      <c r="I428" t="s">
        <v>31</v>
      </c>
      <c r="J428">
        <v>10</v>
      </c>
      <c r="K428">
        <v>4.3</v>
      </c>
      <c r="L428">
        <v>301.08999999999997</v>
      </c>
    </row>
    <row r="429" spans="1:12">
      <c r="A429">
        <v>10428</v>
      </c>
      <c r="B429" t="s">
        <v>463</v>
      </c>
      <c r="C429">
        <v>1400</v>
      </c>
      <c r="D429" t="s">
        <v>34</v>
      </c>
      <c r="E429" t="s">
        <v>32</v>
      </c>
      <c r="F429">
        <v>1</v>
      </c>
      <c r="G429">
        <v>345.78</v>
      </c>
      <c r="H429">
        <v>0.18</v>
      </c>
      <c r="I429" t="s">
        <v>31</v>
      </c>
      <c r="J429">
        <v>5</v>
      </c>
      <c r="K429">
        <v>1.7</v>
      </c>
      <c r="L429">
        <v>283.54000000000002</v>
      </c>
    </row>
    <row r="430" spans="1:12">
      <c r="A430">
        <v>10429</v>
      </c>
      <c r="B430" t="s">
        <v>464</v>
      </c>
      <c r="C430">
        <v>1639</v>
      </c>
      <c r="D430" t="s">
        <v>34</v>
      </c>
      <c r="E430" t="s">
        <v>32</v>
      </c>
      <c r="F430">
        <v>5</v>
      </c>
      <c r="G430">
        <v>270.23</v>
      </c>
      <c r="H430">
        <v>0.3</v>
      </c>
      <c r="I430" t="s">
        <v>28</v>
      </c>
      <c r="J430">
        <v>3</v>
      </c>
      <c r="K430">
        <v>2.5</v>
      </c>
      <c r="L430">
        <v>945.8</v>
      </c>
    </row>
    <row r="431" spans="1:12">
      <c r="A431">
        <v>10430</v>
      </c>
      <c r="B431" t="s">
        <v>465</v>
      </c>
      <c r="C431">
        <v>1032</v>
      </c>
      <c r="D431" t="s">
        <v>34</v>
      </c>
      <c r="E431" t="s">
        <v>30</v>
      </c>
      <c r="F431">
        <v>1</v>
      </c>
      <c r="G431">
        <v>330.87</v>
      </c>
      <c r="H431">
        <v>0.26</v>
      </c>
      <c r="I431" t="s">
        <v>28</v>
      </c>
      <c r="J431">
        <v>1</v>
      </c>
      <c r="K431">
        <v>2.2999999999999998</v>
      </c>
      <c r="L431">
        <v>244.84</v>
      </c>
    </row>
    <row r="432" spans="1:12">
      <c r="A432">
        <v>10431</v>
      </c>
      <c r="B432" t="s">
        <v>466</v>
      </c>
      <c r="C432">
        <v>1687</v>
      </c>
      <c r="D432" t="s">
        <v>13</v>
      </c>
      <c r="E432" t="s">
        <v>32</v>
      </c>
      <c r="F432">
        <v>5</v>
      </c>
      <c r="G432">
        <v>130.59</v>
      </c>
      <c r="H432">
        <v>0.27</v>
      </c>
      <c r="I432" t="s">
        <v>28</v>
      </c>
      <c r="J432">
        <v>6</v>
      </c>
      <c r="K432">
        <v>1.8</v>
      </c>
      <c r="L432">
        <v>476.65</v>
      </c>
    </row>
    <row r="433" spans="1:12">
      <c r="A433">
        <v>10432</v>
      </c>
      <c r="B433" t="s">
        <v>467</v>
      </c>
      <c r="C433">
        <v>1459</v>
      </c>
      <c r="D433" t="s">
        <v>55</v>
      </c>
      <c r="E433" t="s">
        <v>30</v>
      </c>
      <c r="F433">
        <v>3</v>
      </c>
      <c r="G433">
        <v>266.97000000000003</v>
      </c>
      <c r="H433">
        <v>0.33</v>
      </c>
      <c r="I433" t="s">
        <v>28</v>
      </c>
      <c r="J433">
        <v>3</v>
      </c>
      <c r="K433">
        <v>2.8</v>
      </c>
      <c r="L433">
        <v>536.61</v>
      </c>
    </row>
    <row r="434" spans="1:12">
      <c r="A434">
        <v>10433</v>
      </c>
      <c r="B434" t="s">
        <v>468</v>
      </c>
      <c r="C434">
        <v>1954</v>
      </c>
      <c r="D434" t="s">
        <v>55</v>
      </c>
      <c r="E434" t="s">
        <v>14</v>
      </c>
      <c r="F434">
        <v>2</v>
      </c>
      <c r="G434">
        <v>308.5</v>
      </c>
      <c r="H434">
        <v>0.09</v>
      </c>
      <c r="I434" t="s">
        <v>31</v>
      </c>
      <c r="J434">
        <v>4</v>
      </c>
      <c r="K434">
        <v>4.8</v>
      </c>
      <c r="L434">
        <v>561.47</v>
      </c>
    </row>
    <row r="435" spans="1:12">
      <c r="A435">
        <v>10434</v>
      </c>
      <c r="B435" t="s">
        <v>469</v>
      </c>
      <c r="C435">
        <v>1882</v>
      </c>
      <c r="D435" t="s">
        <v>34</v>
      </c>
      <c r="E435" t="s">
        <v>30</v>
      </c>
      <c r="F435">
        <v>4</v>
      </c>
      <c r="G435">
        <v>542.20000000000005</v>
      </c>
      <c r="H435">
        <v>0.09</v>
      </c>
      <c r="I435" t="s">
        <v>28</v>
      </c>
      <c r="J435">
        <v>9</v>
      </c>
      <c r="K435">
        <v>3.2</v>
      </c>
      <c r="L435">
        <v>1973.61</v>
      </c>
    </row>
    <row r="436" spans="1:12">
      <c r="A436">
        <v>10435</v>
      </c>
      <c r="B436" t="s">
        <v>470</v>
      </c>
      <c r="C436">
        <v>1469</v>
      </c>
      <c r="D436" t="s">
        <v>27</v>
      </c>
      <c r="E436" t="s">
        <v>30</v>
      </c>
      <c r="F436">
        <v>5</v>
      </c>
      <c r="G436">
        <v>167.59</v>
      </c>
      <c r="H436">
        <v>0.31</v>
      </c>
      <c r="I436" t="s">
        <v>31</v>
      </c>
      <c r="J436">
        <v>2</v>
      </c>
      <c r="K436">
        <v>2.1</v>
      </c>
      <c r="L436">
        <v>578.19000000000005</v>
      </c>
    </row>
    <row r="437" spans="1:12">
      <c r="A437">
        <v>10436</v>
      </c>
      <c r="B437" t="s">
        <v>471</v>
      </c>
      <c r="C437">
        <v>1374</v>
      </c>
      <c r="D437" t="s">
        <v>27</v>
      </c>
      <c r="E437" t="s">
        <v>14</v>
      </c>
      <c r="F437">
        <v>7</v>
      </c>
      <c r="G437">
        <v>522.67999999999995</v>
      </c>
      <c r="H437">
        <v>0.27</v>
      </c>
      <c r="I437" t="s">
        <v>28</v>
      </c>
      <c r="J437">
        <v>1</v>
      </c>
      <c r="K437">
        <v>2.4</v>
      </c>
      <c r="L437">
        <v>2670.89</v>
      </c>
    </row>
    <row r="438" spans="1:12">
      <c r="A438">
        <v>10437</v>
      </c>
      <c r="B438" t="s">
        <v>472</v>
      </c>
      <c r="C438">
        <v>1021</v>
      </c>
      <c r="D438" t="s">
        <v>55</v>
      </c>
      <c r="E438" t="s">
        <v>14</v>
      </c>
      <c r="F438">
        <v>1</v>
      </c>
      <c r="G438">
        <v>391.88</v>
      </c>
      <c r="H438">
        <v>0.32</v>
      </c>
      <c r="I438" t="s">
        <v>28</v>
      </c>
      <c r="J438">
        <v>10</v>
      </c>
      <c r="K438">
        <v>3.5</v>
      </c>
      <c r="L438">
        <v>266.48</v>
      </c>
    </row>
    <row r="439" spans="1:12">
      <c r="A439">
        <v>10438</v>
      </c>
      <c r="B439" t="s">
        <v>473</v>
      </c>
      <c r="C439">
        <v>1749</v>
      </c>
      <c r="D439" t="s">
        <v>13</v>
      </c>
      <c r="E439" t="s">
        <v>43</v>
      </c>
      <c r="F439">
        <v>7</v>
      </c>
      <c r="G439">
        <v>26.9</v>
      </c>
      <c r="H439">
        <v>0.02</v>
      </c>
      <c r="I439" t="s">
        <v>28</v>
      </c>
      <c r="J439">
        <v>6</v>
      </c>
      <c r="K439">
        <v>2.4</v>
      </c>
      <c r="L439">
        <v>184.53</v>
      </c>
    </row>
    <row r="440" spans="1:12">
      <c r="A440">
        <v>10439</v>
      </c>
      <c r="B440" t="s">
        <v>474</v>
      </c>
      <c r="C440">
        <v>1669</v>
      </c>
      <c r="D440" t="s">
        <v>34</v>
      </c>
      <c r="E440" t="s">
        <v>43</v>
      </c>
      <c r="F440">
        <v>5</v>
      </c>
      <c r="G440">
        <v>438.91</v>
      </c>
      <c r="H440">
        <v>0.22</v>
      </c>
      <c r="I440" t="s">
        <v>15</v>
      </c>
      <c r="J440">
        <v>1</v>
      </c>
      <c r="K440">
        <v>3.2</v>
      </c>
      <c r="L440">
        <v>1711.75</v>
      </c>
    </row>
    <row r="441" spans="1:12">
      <c r="A441">
        <v>10440</v>
      </c>
      <c r="B441" t="s">
        <v>475</v>
      </c>
      <c r="C441">
        <v>1037</v>
      </c>
      <c r="D441" t="s">
        <v>55</v>
      </c>
      <c r="E441" t="s">
        <v>43</v>
      </c>
      <c r="F441">
        <v>6</v>
      </c>
      <c r="G441">
        <v>35.799999999999997</v>
      </c>
      <c r="H441">
        <v>0.05</v>
      </c>
      <c r="I441" t="s">
        <v>28</v>
      </c>
      <c r="J441">
        <v>1</v>
      </c>
      <c r="K441">
        <v>2.1</v>
      </c>
      <c r="L441">
        <v>204.06</v>
      </c>
    </row>
    <row r="442" spans="1:12">
      <c r="A442">
        <v>10441</v>
      </c>
      <c r="B442" t="s">
        <v>476</v>
      </c>
      <c r="C442">
        <v>1229</v>
      </c>
      <c r="D442" t="s">
        <v>34</v>
      </c>
      <c r="E442" t="s">
        <v>43</v>
      </c>
      <c r="F442">
        <v>5</v>
      </c>
      <c r="G442">
        <v>598.47</v>
      </c>
      <c r="H442">
        <v>0.18</v>
      </c>
      <c r="I442" t="s">
        <v>28</v>
      </c>
      <c r="J442">
        <v>7</v>
      </c>
      <c r="K442">
        <v>2.4</v>
      </c>
      <c r="L442">
        <v>2453.73</v>
      </c>
    </row>
    <row r="443" spans="1:12">
      <c r="A443">
        <v>10442</v>
      </c>
      <c r="B443" t="s">
        <v>477</v>
      </c>
      <c r="C443">
        <v>1364</v>
      </c>
      <c r="D443" t="s">
        <v>27</v>
      </c>
      <c r="E443" t="s">
        <v>30</v>
      </c>
      <c r="F443">
        <v>1</v>
      </c>
      <c r="G443">
        <v>525.49</v>
      </c>
      <c r="H443">
        <v>0.05</v>
      </c>
      <c r="I443" t="s">
        <v>15</v>
      </c>
      <c r="J443">
        <v>2</v>
      </c>
      <c r="K443">
        <v>3.8</v>
      </c>
      <c r="L443">
        <v>499.22</v>
      </c>
    </row>
    <row r="444" spans="1:12">
      <c r="A444">
        <v>10443</v>
      </c>
      <c r="B444" t="s">
        <v>478</v>
      </c>
      <c r="C444">
        <v>1562</v>
      </c>
      <c r="D444" t="s">
        <v>34</v>
      </c>
      <c r="E444" t="s">
        <v>30</v>
      </c>
      <c r="F444">
        <v>6</v>
      </c>
      <c r="G444">
        <v>188.95</v>
      </c>
      <c r="H444">
        <v>0.04</v>
      </c>
      <c r="I444" t="s">
        <v>15</v>
      </c>
      <c r="J444">
        <v>4</v>
      </c>
      <c r="K444">
        <v>3.3</v>
      </c>
      <c r="L444">
        <v>1088.3499999999999</v>
      </c>
    </row>
    <row r="445" spans="1:12">
      <c r="A445">
        <v>10444</v>
      </c>
      <c r="B445" t="s">
        <v>479</v>
      </c>
      <c r="C445">
        <v>1437</v>
      </c>
      <c r="D445" t="s">
        <v>34</v>
      </c>
      <c r="E445" t="s">
        <v>43</v>
      </c>
      <c r="F445">
        <v>6</v>
      </c>
      <c r="G445">
        <v>165.59</v>
      </c>
      <c r="H445">
        <v>0</v>
      </c>
      <c r="I445" t="s">
        <v>31</v>
      </c>
      <c r="J445">
        <v>4</v>
      </c>
      <c r="K445">
        <v>1.4</v>
      </c>
      <c r="L445">
        <v>993.54</v>
      </c>
    </row>
    <row r="446" spans="1:12">
      <c r="A446">
        <v>10445</v>
      </c>
      <c r="B446" t="s">
        <v>480</v>
      </c>
      <c r="C446">
        <v>1775</v>
      </c>
      <c r="D446" t="s">
        <v>27</v>
      </c>
      <c r="E446" t="s">
        <v>32</v>
      </c>
      <c r="F446">
        <v>1</v>
      </c>
      <c r="G446">
        <v>238.14</v>
      </c>
      <c r="H446">
        <v>0.22</v>
      </c>
      <c r="I446" t="s">
        <v>28</v>
      </c>
      <c r="J446">
        <v>2</v>
      </c>
      <c r="K446">
        <v>4.9000000000000004</v>
      </c>
      <c r="L446">
        <v>185.75</v>
      </c>
    </row>
    <row r="447" spans="1:12">
      <c r="A447">
        <v>10446</v>
      </c>
      <c r="B447" t="s">
        <v>481</v>
      </c>
      <c r="C447">
        <v>1282</v>
      </c>
      <c r="D447" t="s">
        <v>27</v>
      </c>
      <c r="E447" t="s">
        <v>43</v>
      </c>
      <c r="F447">
        <v>6</v>
      </c>
      <c r="G447">
        <v>223.36</v>
      </c>
      <c r="H447">
        <v>0.13</v>
      </c>
      <c r="I447" t="s">
        <v>28</v>
      </c>
      <c r="J447">
        <v>6</v>
      </c>
      <c r="K447">
        <v>1.2</v>
      </c>
      <c r="L447">
        <v>1165.94</v>
      </c>
    </row>
    <row r="448" spans="1:12">
      <c r="A448">
        <v>10447</v>
      </c>
      <c r="B448" t="s">
        <v>482</v>
      </c>
      <c r="C448">
        <v>1026</v>
      </c>
      <c r="D448" t="s">
        <v>34</v>
      </c>
      <c r="E448" t="s">
        <v>32</v>
      </c>
      <c r="F448">
        <v>2</v>
      </c>
      <c r="G448">
        <v>232.82</v>
      </c>
      <c r="H448">
        <v>0.04</v>
      </c>
      <c r="I448" t="s">
        <v>15</v>
      </c>
      <c r="J448">
        <v>10</v>
      </c>
      <c r="K448">
        <v>1.3</v>
      </c>
      <c r="L448">
        <v>447.01</v>
      </c>
    </row>
    <row r="449" spans="1:12">
      <c r="A449">
        <v>10448</v>
      </c>
      <c r="B449" t="s">
        <v>483</v>
      </c>
      <c r="C449">
        <v>1225</v>
      </c>
      <c r="D449" t="s">
        <v>55</v>
      </c>
      <c r="E449" t="s">
        <v>14</v>
      </c>
      <c r="F449">
        <v>4</v>
      </c>
      <c r="G449">
        <v>201.19</v>
      </c>
      <c r="H449">
        <v>0.11</v>
      </c>
      <c r="I449" t="s">
        <v>15</v>
      </c>
      <c r="J449">
        <v>2</v>
      </c>
      <c r="K449">
        <v>3.8</v>
      </c>
      <c r="L449">
        <v>716.24</v>
      </c>
    </row>
    <row r="450" spans="1:12">
      <c r="A450">
        <v>10449</v>
      </c>
      <c r="B450" t="s">
        <v>484</v>
      </c>
      <c r="C450">
        <v>1276</v>
      </c>
      <c r="D450" t="s">
        <v>27</v>
      </c>
      <c r="E450" t="s">
        <v>30</v>
      </c>
      <c r="F450">
        <v>7</v>
      </c>
      <c r="G450">
        <v>378.36</v>
      </c>
      <c r="H450">
        <v>0.06</v>
      </c>
      <c r="I450" t="s">
        <v>31</v>
      </c>
      <c r="J450">
        <v>8</v>
      </c>
      <c r="K450">
        <v>3.8</v>
      </c>
      <c r="L450">
        <v>2489.61</v>
      </c>
    </row>
    <row r="451" spans="1:12">
      <c r="A451">
        <v>10450</v>
      </c>
      <c r="B451" t="s">
        <v>485</v>
      </c>
      <c r="C451">
        <v>1797</v>
      </c>
      <c r="D451" t="s">
        <v>34</v>
      </c>
      <c r="E451" t="s">
        <v>30</v>
      </c>
      <c r="F451">
        <v>2</v>
      </c>
      <c r="G451">
        <v>111.09</v>
      </c>
      <c r="H451">
        <v>0.33</v>
      </c>
      <c r="I451" t="s">
        <v>28</v>
      </c>
      <c r="J451">
        <v>4</v>
      </c>
      <c r="K451">
        <v>1.1000000000000001</v>
      </c>
      <c r="L451">
        <v>148.86000000000001</v>
      </c>
    </row>
    <row r="452" spans="1:12">
      <c r="A452">
        <v>10451</v>
      </c>
      <c r="B452" t="s">
        <v>486</v>
      </c>
      <c r="C452">
        <v>1608</v>
      </c>
      <c r="D452" t="s">
        <v>55</v>
      </c>
      <c r="E452" t="s">
        <v>32</v>
      </c>
      <c r="F452">
        <v>2</v>
      </c>
      <c r="G452">
        <v>509.9</v>
      </c>
      <c r="H452">
        <v>0.11</v>
      </c>
      <c r="I452" t="s">
        <v>28</v>
      </c>
      <c r="J452">
        <v>1</v>
      </c>
      <c r="K452">
        <v>3.6</v>
      </c>
      <c r="L452">
        <v>907.62</v>
      </c>
    </row>
    <row r="453" spans="1:12">
      <c r="A453">
        <v>10452</v>
      </c>
      <c r="B453" t="s">
        <v>487</v>
      </c>
      <c r="C453">
        <v>1283</v>
      </c>
      <c r="D453" t="s">
        <v>34</v>
      </c>
      <c r="E453" t="s">
        <v>43</v>
      </c>
      <c r="F453">
        <v>1</v>
      </c>
      <c r="G453">
        <v>490.26</v>
      </c>
      <c r="H453">
        <v>0.12</v>
      </c>
      <c r="I453" t="s">
        <v>28</v>
      </c>
      <c r="J453">
        <v>7</v>
      </c>
      <c r="K453">
        <v>1.1000000000000001</v>
      </c>
      <c r="L453">
        <v>431.43</v>
      </c>
    </row>
    <row r="454" spans="1:12">
      <c r="A454">
        <v>10453</v>
      </c>
      <c r="B454" t="s">
        <v>488</v>
      </c>
      <c r="C454">
        <v>1878</v>
      </c>
      <c r="D454" t="s">
        <v>27</v>
      </c>
      <c r="E454" t="s">
        <v>30</v>
      </c>
      <c r="F454">
        <v>1</v>
      </c>
      <c r="G454">
        <v>293.74</v>
      </c>
      <c r="H454">
        <v>0.28999999999999998</v>
      </c>
      <c r="I454" t="s">
        <v>31</v>
      </c>
      <c r="J454">
        <v>6</v>
      </c>
      <c r="K454">
        <v>4.8</v>
      </c>
      <c r="L454">
        <v>208.56</v>
      </c>
    </row>
    <row r="455" spans="1:12">
      <c r="A455">
        <v>10454</v>
      </c>
      <c r="B455" t="s">
        <v>489</v>
      </c>
      <c r="C455">
        <v>1959</v>
      </c>
      <c r="D455" t="s">
        <v>55</v>
      </c>
      <c r="E455" t="s">
        <v>32</v>
      </c>
      <c r="F455">
        <v>7</v>
      </c>
      <c r="G455">
        <v>513.85</v>
      </c>
      <c r="H455">
        <v>0.23</v>
      </c>
      <c r="I455" t="s">
        <v>28</v>
      </c>
      <c r="J455">
        <v>6</v>
      </c>
      <c r="K455">
        <v>3.8</v>
      </c>
      <c r="L455">
        <v>2769.65</v>
      </c>
    </row>
    <row r="456" spans="1:12">
      <c r="A456">
        <v>10455</v>
      </c>
      <c r="B456" t="s">
        <v>490</v>
      </c>
      <c r="C456">
        <v>1480</v>
      </c>
      <c r="D456" t="s">
        <v>34</v>
      </c>
      <c r="E456" t="s">
        <v>14</v>
      </c>
      <c r="F456">
        <v>4</v>
      </c>
      <c r="G456">
        <v>159.58000000000001</v>
      </c>
      <c r="H456">
        <v>0.25</v>
      </c>
      <c r="I456" t="s">
        <v>15</v>
      </c>
      <c r="J456">
        <v>11</v>
      </c>
      <c r="K456">
        <v>1.7</v>
      </c>
      <c r="L456">
        <v>478.74</v>
      </c>
    </row>
    <row r="457" spans="1:12">
      <c r="A457">
        <v>10456</v>
      </c>
      <c r="B457" t="s">
        <v>491</v>
      </c>
      <c r="C457">
        <v>1452</v>
      </c>
      <c r="D457" t="s">
        <v>34</v>
      </c>
      <c r="E457" t="s">
        <v>14</v>
      </c>
      <c r="F457">
        <v>5</v>
      </c>
      <c r="G457">
        <v>25.28</v>
      </c>
      <c r="H457">
        <v>0.22</v>
      </c>
      <c r="I457" t="s">
        <v>28</v>
      </c>
      <c r="J457">
        <v>3</v>
      </c>
      <c r="K457">
        <v>1.6</v>
      </c>
      <c r="L457">
        <v>98.59</v>
      </c>
    </row>
    <row r="458" spans="1:12">
      <c r="A458">
        <v>10457</v>
      </c>
      <c r="B458" t="s">
        <v>492</v>
      </c>
      <c r="C458">
        <v>1828</v>
      </c>
      <c r="D458" t="s">
        <v>27</v>
      </c>
      <c r="E458" t="s">
        <v>30</v>
      </c>
      <c r="F458">
        <v>2</v>
      </c>
      <c r="G458">
        <v>377.24</v>
      </c>
      <c r="H458">
        <v>0.33</v>
      </c>
      <c r="I458" t="s">
        <v>31</v>
      </c>
      <c r="J458">
        <v>10</v>
      </c>
      <c r="K458">
        <v>3.3</v>
      </c>
      <c r="L458">
        <v>505.5</v>
      </c>
    </row>
    <row r="459" spans="1:12">
      <c r="A459">
        <v>10458</v>
      </c>
      <c r="B459" t="s">
        <v>493</v>
      </c>
      <c r="C459">
        <v>1815</v>
      </c>
      <c r="D459" t="s">
        <v>13</v>
      </c>
      <c r="E459" t="s">
        <v>43</v>
      </c>
      <c r="F459">
        <v>6</v>
      </c>
      <c r="G459">
        <v>282.88</v>
      </c>
      <c r="H459">
        <v>7.0000000000000007E-2</v>
      </c>
      <c r="I459" t="s">
        <v>28</v>
      </c>
      <c r="J459">
        <v>7</v>
      </c>
      <c r="K459">
        <v>3.5</v>
      </c>
      <c r="L459">
        <v>1578.47</v>
      </c>
    </row>
    <row r="460" spans="1:12">
      <c r="A460">
        <v>10459</v>
      </c>
      <c r="B460" t="s">
        <v>494</v>
      </c>
      <c r="C460">
        <v>1658</v>
      </c>
      <c r="D460" t="s">
        <v>27</v>
      </c>
      <c r="E460" t="s">
        <v>32</v>
      </c>
      <c r="F460">
        <v>4</v>
      </c>
      <c r="G460">
        <v>346.79</v>
      </c>
      <c r="H460">
        <v>0.35</v>
      </c>
      <c r="I460" t="s">
        <v>31</v>
      </c>
      <c r="J460">
        <v>6</v>
      </c>
      <c r="K460">
        <v>4.3</v>
      </c>
      <c r="L460">
        <v>901.65</v>
      </c>
    </row>
    <row r="461" spans="1:12">
      <c r="A461">
        <v>10460</v>
      </c>
      <c r="B461" t="s">
        <v>495</v>
      </c>
      <c r="C461">
        <v>1515</v>
      </c>
      <c r="D461" t="s">
        <v>55</v>
      </c>
      <c r="E461" t="s">
        <v>30</v>
      </c>
      <c r="F461">
        <v>2</v>
      </c>
      <c r="G461">
        <v>541.11</v>
      </c>
      <c r="H461">
        <v>0.28999999999999998</v>
      </c>
      <c r="I461" t="s">
        <v>28</v>
      </c>
      <c r="J461">
        <v>10</v>
      </c>
      <c r="K461">
        <v>4.5999999999999996</v>
      </c>
      <c r="L461">
        <v>768.38</v>
      </c>
    </row>
    <row r="462" spans="1:12">
      <c r="A462">
        <v>10461</v>
      </c>
      <c r="B462" t="s">
        <v>496</v>
      </c>
      <c r="C462">
        <v>1546</v>
      </c>
      <c r="D462" t="s">
        <v>27</v>
      </c>
      <c r="E462" t="s">
        <v>14</v>
      </c>
      <c r="F462">
        <v>5</v>
      </c>
      <c r="G462">
        <v>582.41</v>
      </c>
      <c r="H462">
        <v>0.21</v>
      </c>
      <c r="I462" t="s">
        <v>31</v>
      </c>
      <c r="J462">
        <v>10</v>
      </c>
      <c r="K462">
        <v>2.6</v>
      </c>
      <c r="L462">
        <v>2300.52</v>
      </c>
    </row>
    <row r="463" spans="1:12">
      <c r="A463">
        <v>10462</v>
      </c>
      <c r="B463" t="s">
        <v>497</v>
      </c>
      <c r="C463">
        <v>1191</v>
      </c>
      <c r="D463" t="s">
        <v>34</v>
      </c>
      <c r="E463" t="s">
        <v>43</v>
      </c>
      <c r="F463">
        <v>6</v>
      </c>
      <c r="G463">
        <v>386.16</v>
      </c>
      <c r="H463">
        <v>0.23</v>
      </c>
      <c r="I463" t="s">
        <v>31</v>
      </c>
      <c r="J463">
        <v>9</v>
      </c>
      <c r="K463">
        <v>4.4000000000000004</v>
      </c>
      <c r="L463">
        <v>1784.06</v>
      </c>
    </row>
    <row r="464" spans="1:12">
      <c r="A464">
        <v>10463</v>
      </c>
      <c r="B464" t="s">
        <v>498</v>
      </c>
      <c r="C464">
        <v>1048</v>
      </c>
      <c r="D464" t="s">
        <v>27</v>
      </c>
      <c r="E464" t="s">
        <v>32</v>
      </c>
      <c r="F464">
        <v>2</v>
      </c>
      <c r="G464">
        <v>461.97</v>
      </c>
      <c r="H464">
        <v>0.23</v>
      </c>
      <c r="I464" t="s">
        <v>28</v>
      </c>
      <c r="J464">
        <v>3</v>
      </c>
      <c r="K464">
        <v>3.2</v>
      </c>
      <c r="L464">
        <v>711.43</v>
      </c>
    </row>
    <row r="465" spans="1:12">
      <c r="A465">
        <v>10464</v>
      </c>
      <c r="B465" t="s">
        <v>499</v>
      </c>
      <c r="C465">
        <v>1511</v>
      </c>
      <c r="D465" t="s">
        <v>55</v>
      </c>
      <c r="E465" t="s">
        <v>30</v>
      </c>
      <c r="F465">
        <v>3</v>
      </c>
      <c r="G465">
        <v>64.03</v>
      </c>
      <c r="H465">
        <v>0.02</v>
      </c>
      <c r="I465" t="s">
        <v>15</v>
      </c>
      <c r="J465">
        <v>3</v>
      </c>
      <c r="K465">
        <v>2.9</v>
      </c>
      <c r="L465">
        <v>188.25</v>
      </c>
    </row>
    <row r="466" spans="1:12">
      <c r="A466">
        <v>10465</v>
      </c>
      <c r="B466" t="s">
        <v>500</v>
      </c>
      <c r="C466">
        <v>1016</v>
      </c>
      <c r="D466" t="s">
        <v>34</v>
      </c>
      <c r="E466" t="s">
        <v>32</v>
      </c>
      <c r="F466">
        <v>7</v>
      </c>
      <c r="G466">
        <v>109.02</v>
      </c>
      <c r="H466">
        <v>0.08</v>
      </c>
      <c r="I466" t="s">
        <v>31</v>
      </c>
      <c r="J466">
        <v>4</v>
      </c>
      <c r="K466">
        <v>3.8</v>
      </c>
      <c r="L466">
        <v>702.09</v>
      </c>
    </row>
    <row r="467" spans="1:12">
      <c r="A467">
        <v>10466</v>
      </c>
      <c r="B467" t="s">
        <v>501</v>
      </c>
      <c r="C467">
        <v>1171</v>
      </c>
      <c r="D467" t="s">
        <v>34</v>
      </c>
      <c r="E467" t="s">
        <v>43</v>
      </c>
      <c r="F467">
        <v>4</v>
      </c>
      <c r="G467">
        <v>443.92</v>
      </c>
      <c r="H467">
        <v>0.34</v>
      </c>
      <c r="I467" t="s">
        <v>15</v>
      </c>
      <c r="J467">
        <v>3</v>
      </c>
      <c r="K467">
        <v>1.4</v>
      </c>
      <c r="L467">
        <v>1171.95</v>
      </c>
    </row>
    <row r="468" spans="1:12">
      <c r="A468">
        <v>10467</v>
      </c>
      <c r="B468" t="s">
        <v>502</v>
      </c>
      <c r="C468">
        <v>1219</v>
      </c>
      <c r="D468" t="s">
        <v>34</v>
      </c>
      <c r="E468" t="s">
        <v>43</v>
      </c>
      <c r="F468">
        <v>7</v>
      </c>
      <c r="G468">
        <v>267.35000000000002</v>
      </c>
      <c r="H468">
        <v>0.19</v>
      </c>
      <c r="I468" t="s">
        <v>15</v>
      </c>
      <c r="J468">
        <v>4</v>
      </c>
      <c r="K468">
        <v>2.1</v>
      </c>
      <c r="L468">
        <v>1515.87</v>
      </c>
    </row>
    <row r="469" spans="1:12">
      <c r="A469">
        <v>10468</v>
      </c>
      <c r="B469" t="s">
        <v>503</v>
      </c>
      <c r="C469">
        <v>1157</v>
      </c>
      <c r="D469" t="s">
        <v>27</v>
      </c>
      <c r="E469" t="s">
        <v>14</v>
      </c>
      <c r="F469">
        <v>1</v>
      </c>
      <c r="G469">
        <v>275.89</v>
      </c>
      <c r="H469">
        <v>0.13</v>
      </c>
      <c r="I469" t="s">
        <v>15</v>
      </c>
      <c r="J469">
        <v>6</v>
      </c>
      <c r="K469">
        <v>4.3</v>
      </c>
      <c r="L469">
        <v>240.02</v>
      </c>
    </row>
    <row r="470" spans="1:12">
      <c r="A470">
        <v>10469</v>
      </c>
      <c r="B470" t="s">
        <v>504</v>
      </c>
      <c r="C470">
        <v>1476</v>
      </c>
      <c r="D470" t="s">
        <v>13</v>
      </c>
      <c r="E470" t="s">
        <v>43</v>
      </c>
      <c r="F470">
        <v>2</v>
      </c>
      <c r="G470">
        <v>195.54</v>
      </c>
      <c r="H470">
        <v>0.27</v>
      </c>
      <c r="I470" t="s">
        <v>28</v>
      </c>
      <c r="J470">
        <v>1</v>
      </c>
      <c r="K470">
        <v>3</v>
      </c>
      <c r="L470">
        <v>285.49</v>
      </c>
    </row>
    <row r="471" spans="1:12">
      <c r="A471">
        <v>10470</v>
      </c>
      <c r="B471" t="s">
        <v>505</v>
      </c>
      <c r="C471">
        <v>1045</v>
      </c>
      <c r="D471" t="s">
        <v>34</v>
      </c>
      <c r="E471" t="s">
        <v>30</v>
      </c>
      <c r="F471">
        <v>6</v>
      </c>
      <c r="G471">
        <v>370.3</v>
      </c>
      <c r="H471">
        <v>0.18</v>
      </c>
      <c r="I471" t="s">
        <v>28</v>
      </c>
      <c r="J471">
        <v>2</v>
      </c>
      <c r="K471">
        <v>4.5999999999999996</v>
      </c>
      <c r="L471">
        <v>1821.88</v>
      </c>
    </row>
    <row r="472" spans="1:12">
      <c r="A472">
        <v>10471</v>
      </c>
      <c r="B472" t="s">
        <v>506</v>
      </c>
      <c r="C472">
        <v>1372</v>
      </c>
      <c r="D472" t="s">
        <v>27</v>
      </c>
      <c r="E472" t="s">
        <v>32</v>
      </c>
      <c r="F472">
        <v>6</v>
      </c>
      <c r="G472">
        <v>123.32</v>
      </c>
      <c r="H472">
        <v>0</v>
      </c>
      <c r="I472" t="s">
        <v>15</v>
      </c>
      <c r="J472">
        <v>10</v>
      </c>
      <c r="K472">
        <v>1.4</v>
      </c>
      <c r="L472">
        <v>739.92</v>
      </c>
    </row>
    <row r="473" spans="1:12">
      <c r="A473">
        <v>10472</v>
      </c>
      <c r="B473" t="s">
        <v>507</v>
      </c>
      <c r="C473">
        <v>1517</v>
      </c>
      <c r="D473" t="s">
        <v>34</v>
      </c>
      <c r="E473" t="s">
        <v>43</v>
      </c>
      <c r="F473">
        <v>4</v>
      </c>
      <c r="G473">
        <v>381.75</v>
      </c>
      <c r="H473">
        <v>0.26</v>
      </c>
      <c r="I473" t="s">
        <v>31</v>
      </c>
      <c r="J473">
        <v>6</v>
      </c>
      <c r="K473">
        <v>2.2999999999999998</v>
      </c>
      <c r="L473">
        <v>1129.98</v>
      </c>
    </row>
    <row r="474" spans="1:12">
      <c r="A474">
        <v>10473</v>
      </c>
      <c r="B474" t="s">
        <v>508</v>
      </c>
      <c r="C474">
        <v>1098</v>
      </c>
      <c r="D474" t="s">
        <v>13</v>
      </c>
      <c r="E474" t="s">
        <v>43</v>
      </c>
      <c r="F474">
        <v>4</v>
      </c>
      <c r="G474">
        <v>116.67</v>
      </c>
      <c r="H474">
        <v>0.26</v>
      </c>
      <c r="I474" t="s">
        <v>28</v>
      </c>
      <c r="J474">
        <v>6</v>
      </c>
      <c r="K474">
        <v>2.4</v>
      </c>
      <c r="L474">
        <v>345.34</v>
      </c>
    </row>
    <row r="475" spans="1:12">
      <c r="A475">
        <v>10474</v>
      </c>
      <c r="B475" t="s">
        <v>509</v>
      </c>
      <c r="C475">
        <v>1891</v>
      </c>
      <c r="D475" t="s">
        <v>34</v>
      </c>
      <c r="E475" t="s">
        <v>30</v>
      </c>
      <c r="F475">
        <v>7</v>
      </c>
      <c r="G475">
        <v>52.34</v>
      </c>
      <c r="H475">
        <v>0.06</v>
      </c>
      <c r="I475" t="s">
        <v>31</v>
      </c>
      <c r="J475">
        <v>1</v>
      </c>
      <c r="K475">
        <v>2.7</v>
      </c>
      <c r="L475">
        <v>344.4</v>
      </c>
    </row>
    <row r="476" spans="1:12">
      <c r="A476">
        <v>10475</v>
      </c>
      <c r="B476" t="s">
        <v>510</v>
      </c>
      <c r="C476">
        <v>1744</v>
      </c>
      <c r="D476" t="s">
        <v>27</v>
      </c>
      <c r="E476" t="s">
        <v>32</v>
      </c>
      <c r="F476">
        <v>6</v>
      </c>
      <c r="G476">
        <v>208.26</v>
      </c>
      <c r="H476">
        <v>0.33</v>
      </c>
      <c r="I476" t="s">
        <v>28</v>
      </c>
      <c r="J476">
        <v>6</v>
      </c>
      <c r="K476">
        <v>4.9000000000000004</v>
      </c>
      <c r="L476">
        <v>837.21</v>
      </c>
    </row>
    <row r="477" spans="1:12">
      <c r="A477">
        <v>10476</v>
      </c>
      <c r="B477" t="s">
        <v>511</v>
      </c>
      <c r="C477">
        <v>1036</v>
      </c>
      <c r="D477" t="s">
        <v>55</v>
      </c>
      <c r="E477" t="s">
        <v>32</v>
      </c>
      <c r="F477">
        <v>6</v>
      </c>
      <c r="G477">
        <v>150.22</v>
      </c>
      <c r="H477">
        <v>0.08</v>
      </c>
      <c r="I477" t="s">
        <v>31</v>
      </c>
      <c r="J477">
        <v>11</v>
      </c>
      <c r="K477">
        <v>2.2000000000000002</v>
      </c>
      <c r="L477">
        <v>829.21</v>
      </c>
    </row>
    <row r="478" spans="1:12">
      <c r="A478">
        <v>10477</v>
      </c>
      <c r="B478" t="s">
        <v>512</v>
      </c>
      <c r="C478">
        <v>1279</v>
      </c>
      <c r="D478" t="s">
        <v>55</v>
      </c>
      <c r="E478" t="s">
        <v>14</v>
      </c>
      <c r="F478">
        <v>6</v>
      </c>
      <c r="G478">
        <v>535.05999999999995</v>
      </c>
      <c r="H478">
        <v>0.16</v>
      </c>
      <c r="I478" t="s">
        <v>15</v>
      </c>
      <c r="J478">
        <v>9</v>
      </c>
      <c r="K478">
        <v>3.1</v>
      </c>
      <c r="L478">
        <v>2696.7</v>
      </c>
    </row>
    <row r="479" spans="1:12">
      <c r="A479">
        <v>10478</v>
      </c>
      <c r="B479" t="s">
        <v>513</v>
      </c>
      <c r="C479">
        <v>1348</v>
      </c>
      <c r="D479" t="s">
        <v>27</v>
      </c>
      <c r="E479" t="s">
        <v>14</v>
      </c>
      <c r="F479">
        <v>2</v>
      </c>
      <c r="G479">
        <v>47.15</v>
      </c>
      <c r="H479">
        <v>0.04</v>
      </c>
      <c r="I479" t="s">
        <v>31</v>
      </c>
      <c r="J479">
        <v>8</v>
      </c>
      <c r="K479">
        <v>3.1</v>
      </c>
      <c r="L479">
        <v>90.53</v>
      </c>
    </row>
    <row r="480" spans="1:12">
      <c r="A480">
        <v>10479</v>
      </c>
      <c r="B480" t="s">
        <v>514</v>
      </c>
      <c r="C480">
        <v>1496</v>
      </c>
      <c r="D480" t="s">
        <v>34</v>
      </c>
      <c r="E480" t="s">
        <v>32</v>
      </c>
      <c r="F480">
        <v>6</v>
      </c>
      <c r="G480">
        <v>118.32</v>
      </c>
      <c r="H480">
        <v>0.21</v>
      </c>
      <c r="I480" t="s">
        <v>28</v>
      </c>
      <c r="J480">
        <v>10</v>
      </c>
      <c r="K480">
        <v>4.0999999999999996</v>
      </c>
      <c r="L480">
        <v>560.84</v>
      </c>
    </row>
    <row r="481" spans="1:12">
      <c r="A481">
        <v>10480</v>
      </c>
      <c r="B481" t="s">
        <v>515</v>
      </c>
      <c r="C481">
        <v>1301</v>
      </c>
      <c r="D481" t="s">
        <v>27</v>
      </c>
      <c r="E481" t="s">
        <v>30</v>
      </c>
      <c r="F481">
        <v>1</v>
      </c>
      <c r="G481">
        <v>336</v>
      </c>
      <c r="H481">
        <v>0.13</v>
      </c>
      <c r="I481" t="s">
        <v>28</v>
      </c>
      <c r="J481">
        <v>5</v>
      </c>
      <c r="K481">
        <v>3.1</v>
      </c>
      <c r="L481">
        <v>292.32</v>
      </c>
    </row>
    <row r="482" spans="1:12">
      <c r="A482">
        <v>10481</v>
      </c>
      <c r="B482" t="s">
        <v>516</v>
      </c>
      <c r="C482">
        <v>1180</v>
      </c>
      <c r="D482" t="s">
        <v>34</v>
      </c>
      <c r="E482" t="s">
        <v>30</v>
      </c>
      <c r="F482">
        <v>6</v>
      </c>
      <c r="G482">
        <v>296.42</v>
      </c>
      <c r="H482">
        <v>0.12</v>
      </c>
      <c r="I482" t="s">
        <v>28</v>
      </c>
      <c r="J482">
        <v>4</v>
      </c>
      <c r="K482">
        <v>3.4</v>
      </c>
      <c r="L482">
        <v>1565.1</v>
      </c>
    </row>
    <row r="483" spans="1:12">
      <c r="A483">
        <v>10482</v>
      </c>
      <c r="B483" t="s">
        <v>517</v>
      </c>
      <c r="C483">
        <v>1606</v>
      </c>
      <c r="D483" t="s">
        <v>34</v>
      </c>
      <c r="E483" t="s">
        <v>14</v>
      </c>
      <c r="F483">
        <v>1</v>
      </c>
      <c r="G483">
        <v>41.82</v>
      </c>
      <c r="H483">
        <v>0.28999999999999998</v>
      </c>
      <c r="I483" t="s">
        <v>31</v>
      </c>
      <c r="J483">
        <v>6</v>
      </c>
      <c r="K483">
        <v>4</v>
      </c>
      <c r="L483">
        <v>29.69</v>
      </c>
    </row>
    <row r="484" spans="1:12">
      <c r="A484">
        <v>10483</v>
      </c>
      <c r="B484" t="s">
        <v>518</v>
      </c>
      <c r="C484">
        <v>1098</v>
      </c>
      <c r="D484" t="s">
        <v>27</v>
      </c>
      <c r="E484" t="s">
        <v>43</v>
      </c>
      <c r="F484">
        <v>2</v>
      </c>
      <c r="G484">
        <v>19.239999999999998</v>
      </c>
      <c r="H484">
        <v>0</v>
      </c>
      <c r="I484" t="s">
        <v>28</v>
      </c>
      <c r="J484">
        <v>11</v>
      </c>
      <c r="K484">
        <v>1.4</v>
      </c>
      <c r="L484">
        <v>38.479999999999997</v>
      </c>
    </row>
    <row r="485" spans="1:12">
      <c r="A485">
        <v>10484</v>
      </c>
      <c r="B485" t="s">
        <v>519</v>
      </c>
      <c r="C485">
        <v>1699</v>
      </c>
      <c r="D485" t="s">
        <v>34</v>
      </c>
      <c r="E485" t="s">
        <v>30</v>
      </c>
      <c r="F485">
        <v>4</v>
      </c>
      <c r="G485">
        <v>593.02</v>
      </c>
      <c r="H485">
        <v>0.28000000000000003</v>
      </c>
      <c r="I485" t="s">
        <v>31</v>
      </c>
      <c r="J485">
        <v>5</v>
      </c>
      <c r="K485">
        <v>4.9000000000000004</v>
      </c>
      <c r="L485">
        <v>1707.9</v>
      </c>
    </row>
    <row r="486" spans="1:12">
      <c r="A486">
        <v>10485</v>
      </c>
      <c r="B486" t="s">
        <v>520</v>
      </c>
      <c r="C486">
        <v>1992</v>
      </c>
      <c r="D486" t="s">
        <v>34</v>
      </c>
      <c r="E486" t="s">
        <v>43</v>
      </c>
      <c r="F486">
        <v>1</v>
      </c>
      <c r="G486">
        <v>400.42</v>
      </c>
      <c r="H486">
        <v>0.2</v>
      </c>
      <c r="I486" t="s">
        <v>31</v>
      </c>
      <c r="J486">
        <v>6</v>
      </c>
      <c r="K486">
        <v>4.4000000000000004</v>
      </c>
      <c r="L486">
        <v>320.33999999999997</v>
      </c>
    </row>
    <row r="487" spans="1:12">
      <c r="A487">
        <v>10486</v>
      </c>
      <c r="B487" t="s">
        <v>521</v>
      </c>
      <c r="C487">
        <v>1115</v>
      </c>
      <c r="D487" t="s">
        <v>55</v>
      </c>
      <c r="E487" t="s">
        <v>30</v>
      </c>
      <c r="F487">
        <v>2</v>
      </c>
      <c r="G487">
        <v>228.76</v>
      </c>
      <c r="H487">
        <v>0.35</v>
      </c>
      <c r="I487" t="s">
        <v>31</v>
      </c>
      <c r="J487">
        <v>10</v>
      </c>
      <c r="K487">
        <v>2.6</v>
      </c>
      <c r="L487">
        <v>297.39</v>
      </c>
    </row>
    <row r="488" spans="1:12">
      <c r="A488">
        <v>10487</v>
      </c>
      <c r="B488" t="s">
        <v>522</v>
      </c>
      <c r="C488">
        <v>1190</v>
      </c>
      <c r="D488" t="s">
        <v>13</v>
      </c>
      <c r="E488" t="s">
        <v>32</v>
      </c>
      <c r="F488">
        <v>6</v>
      </c>
      <c r="G488">
        <v>290.2</v>
      </c>
      <c r="H488">
        <v>0.21</v>
      </c>
      <c r="I488" t="s">
        <v>15</v>
      </c>
      <c r="J488">
        <v>11</v>
      </c>
      <c r="K488">
        <v>3.9</v>
      </c>
      <c r="L488">
        <v>1375.55</v>
      </c>
    </row>
    <row r="489" spans="1:12">
      <c r="A489">
        <v>10488</v>
      </c>
      <c r="B489" t="s">
        <v>523</v>
      </c>
      <c r="C489">
        <v>1252</v>
      </c>
      <c r="D489" t="s">
        <v>27</v>
      </c>
      <c r="E489" t="s">
        <v>14</v>
      </c>
      <c r="F489">
        <v>2</v>
      </c>
      <c r="G489">
        <v>170.93</v>
      </c>
      <c r="H489">
        <v>0.02</v>
      </c>
      <c r="I489" t="s">
        <v>31</v>
      </c>
      <c r="J489">
        <v>3</v>
      </c>
      <c r="K489">
        <v>4</v>
      </c>
      <c r="L489">
        <v>335.02</v>
      </c>
    </row>
    <row r="490" spans="1:12">
      <c r="A490">
        <v>10489</v>
      </c>
      <c r="B490" t="s">
        <v>524</v>
      </c>
      <c r="C490">
        <v>1980</v>
      </c>
      <c r="D490" t="s">
        <v>34</v>
      </c>
      <c r="E490" t="s">
        <v>43</v>
      </c>
      <c r="F490">
        <v>6</v>
      </c>
      <c r="G490">
        <v>216.75</v>
      </c>
      <c r="H490">
        <v>0.02</v>
      </c>
      <c r="I490" t="s">
        <v>28</v>
      </c>
      <c r="J490">
        <v>7</v>
      </c>
      <c r="K490">
        <v>4.4000000000000004</v>
      </c>
      <c r="L490">
        <v>1274.49</v>
      </c>
    </row>
    <row r="491" spans="1:12">
      <c r="A491">
        <v>10490</v>
      </c>
      <c r="B491" t="s">
        <v>525</v>
      </c>
      <c r="C491">
        <v>1927</v>
      </c>
      <c r="D491" t="s">
        <v>34</v>
      </c>
      <c r="E491" t="s">
        <v>43</v>
      </c>
      <c r="F491">
        <v>7</v>
      </c>
      <c r="G491">
        <v>394.69</v>
      </c>
      <c r="H491">
        <v>0.31</v>
      </c>
      <c r="I491" t="s">
        <v>31</v>
      </c>
      <c r="J491">
        <v>8</v>
      </c>
      <c r="K491">
        <v>1.8</v>
      </c>
      <c r="L491">
        <v>1906.35</v>
      </c>
    </row>
    <row r="492" spans="1:12">
      <c r="A492">
        <v>10491</v>
      </c>
      <c r="B492" t="s">
        <v>526</v>
      </c>
      <c r="C492">
        <v>1982</v>
      </c>
      <c r="D492" t="s">
        <v>13</v>
      </c>
      <c r="E492" t="s">
        <v>32</v>
      </c>
      <c r="F492">
        <v>2</v>
      </c>
      <c r="G492">
        <v>531.44000000000005</v>
      </c>
      <c r="H492">
        <v>0.28999999999999998</v>
      </c>
      <c r="I492" t="s">
        <v>31</v>
      </c>
      <c r="J492">
        <v>5</v>
      </c>
      <c r="K492">
        <v>3.8</v>
      </c>
      <c r="L492">
        <v>754.64</v>
      </c>
    </row>
    <row r="493" spans="1:12">
      <c r="A493">
        <v>10492</v>
      </c>
      <c r="B493" t="s">
        <v>527</v>
      </c>
      <c r="C493">
        <v>1160</v>
      </c>
      <c r="D493" t="s">
        <v>34</v>
      </c>
      <c r="E493" t="s">
        <v>30</v>
      </c>
      <c r="F493">
        <v>4</v>
      </c>
      <c r="G493">
        <v>122.72</v>
      </c>
      <c r="H493">
        <v>0.12</v>
      </c>
      <c r="I493" t="s">
        <v>28</v>
      </c>
      <c r="J493">
        <v>5</v>
      </c>
      <c r="K493">
        <v>1.1000000000000001</v>
      </c>
      <c r="L493">
        <v>431.97</v>
      </c>
    </row>
    <row r="494" spans="1:12">
      <c r="A494">
        <v>10493</v>
      </c>
      <c r="B494" t="s">
        <v>528</v>
      </c>
      <c r="C494">
        <v>1255</v>
      </c>
      <c r="D494" t="s">
        <v>34</v>
      </c>
      <c r="E494" t="s">
        <v>43</v>
      </c>
      <c r="F494">
        <v>1</v>
      </c>
      <c r="G494">
        <v>506.61</v>
      </c>
      <c r="H494">
        <v>0.22</v>
      </c>
      <c r="I494" t="s">
        <v>31</v>
      </c>
      <c r="J494">
        <v>4</v>
      </c>
      <c r="K494">
        <v>1.5</v>
      </c>
      <c r="L494">
        <v>395.16</v>
      </c>
    </row>
    <row r="495" spans="1:12">
      <c r="A495">
        <v>10494</v>
      </c>
      <c r="B495" t="s">
        <v>529</v>
      </c>
      <c r="C495">
        <v>1322</v>
      </c>
      <c r="D495" t="s">
        <v>27</v>
      </c>
      <c r="E495" t="s">
        <v>30</v>
      </c>
      <c r="F495">
        <v>7</v>
      </c>
      <c r="G495">
        <v>86.11</v>
      </c>
      <c r="H495">
        <v>0.17</v>
      </c>
      <c r="I495" t="s">
        <v>28</v>
      </c>
      <c r="J495">
        <v>10</v>
      </c>
      <c r="K495">
        <v>4.0999999999999996</v>
      </c>
      <c r="L495">
        <v>500.3</v>
      </c>
    </row>
    <row r="496" spans="1:12">
      <c r="A496">
        <v>10495</v>
      </c>
      <c r="B496" t="s">
        <v>530</v>
      </c>
      <c r="C496">
        <v>1127</v>
      </c>
      <c r="D496" t="s">
        <v>27</v>
      </c>
      <c r="E496" t="s">
        <v>32</v>
      </c>
      <c r="F496">
        <v>4</v>
      </c>
      <c r="G496">
        <v>140.77000000000001</v>
      </c>
      <c r="H496">
        <v>0.34</v>
      </c>
      <c r="I496" t="s">
        <v>28</v>
      </c>
      <c r="J496">
        <v>5</v>
      </c>
      <c r="K496">
        <v>4.3</v>
      </c>
      <c r="L496">
        <v>371.63</v>
      </c>
    </row>
    <row r="497" spans="1:12">
      <c r="A497">
        <v>10496</v>
      </c>
      <c r="B497" t="s">
        <v>531</v>
      </c>
      <c r="C497">
        <v>1017</v>
      </c>
      <c r="D497" t="s">
        <v>27</v>
      </c>
      <c r="E497" t="s">
        <v>14</v>
      </c>
      <c r="F497">
        <v>3</v>
      </c>
      <c r="G497">
        <v>36.75</v>
      </c>
      <c r="H497">
        <v>0.33</v>
      </c>
      <c r="I497" t="s">
        <v>15</v>
      </c>
      <c r="J497">
        <v>10</v>
      </c>
      <c r="K497">
        <v>3.4</v>
      </c>
      <c r="L497">
        <v>73.87</v>
      </c>
    </row>
    <row r="498" spans="1:12">
      <c r="A498">
        <v>10497</v>
      </c>
      <c r="B498" t="s">
        <v>532</v>
      </c>
      <c r="C498">
        <v>1792</v>
      </c>
      <c r="D498" t="s">
        <v>34</v>
      </c>
      <c r="E498" t="s">
        <v>43</v>
      </c>
      <c r="F498">
        <v>6</v>
      </c>
      <c r="G498">
        <v>97.37</v>
      </c>
      <c r="H498">
        <v>0.34</v>
      </c>
      <c r="I498" t="s">
        <v>15</v>
      </c>
      <c r="J498">
        <v>11</v>
      </c>
      <c r="K498">
        <v>3.3</v>
      </c>
      <c r="L498">
        <v>385.59</v>
      </c>
    </row>
    <row r="499" spans="1:12">
      <c r="A499">
        <v>10498</v>
      </c>
      <c r="B499" t="s">
        <v>533</v>
      </c>
      <c r="C499">
        <v>1734</v>
      </c>
      <c r="D499" t="s">
        <v>34</v>
      </c>
      <c r="E499" t="s">
        <v>30</v>
      </c>
      <c r="F499">
        <v>1</v>
      </c>
      <c r="G499">
        <v>551.62</v>
      </c>
      <c r="H499">
        <v>0.3</v>
      </c>
      <c r="I499" t="s">
        <v>31</v>
      </c>
      <c r="J499">
        <v>8</v>
      </c>
      <c r="K499">
        <v>4</v>
      </c>
      <c r="L499">
        <v>386.13</v>
      </c>
    </row>
    <row r="500" spans="1:12">
      <c r="A500">
        <v>10499</v>
      </c>
      <c r="B500" t="s">
        <v>534</v>
      </c>
      <c r="C500">
        <v>1565</v>
      </c>
      <c r="D500" t="s">
        <v>13</v>
      </c>
      <c r="E500" t="s">
        <v>43</v>
      </c>
      <c r="F500">
        <v>4</v>
      </c>
      <c r="G500">
        <v>283.77</v>
      </c>
      <c r="H500">
        <v>0.32</v>
      </c>
      <c r="I500" t="s">
        <v>31</v>
      </c>
      <c r="J500">
        <v>5</v>
      </c>
      <c r="K500">
        <v>4.5999999999999996</v>
      </c>
      <c r="L500">
        <v>771.85</v>
      </c>
    </row>
    <row r="501" spans="1:12">
      <c r="A501">
        <v>10500</v>
      </c>
      <c r="B501" t="s">
        <v>535</v>
      </c>
      <c r="C501">
        <v>1569</v>
      </c>
      <c r="D501" t="s">
        <v>34</v>
      </c>
      <c r="E501" t="s">
        <v>30</v>
      </c>
      <c r="F501">
        <v>1</v>
      </c>
      <c r="G501">
        <v>60.43</v>
      </c>
      <c r="H501">
        <v>0.08</v>
      </c>
      <c r="I501" t="s">
        <v>15</v>
      </c>
      <c r="J501">
        <v>9</v>
      </c>
      <c r="K501">
        <v>2.7</v>
      </c>
      <c r="L501">
        <v>55.6</v>
      </c>
    </row>
    <row r="502" spans="1:12">
      <c r="A502">
        <v>10501</v>
      </c>
      <c r="B502" t="s">
        <v>536</v>
      </c>
      <c r="C502">
        <v>1322</v>
      </c>
      <c r="D502" t="s">
        <v>55</v>
      </c>
      <c r="E502" t="s">
        <v>30</v>
      </c>
      <c r="F502">
        <v>3</v>
      </c>
      <c r="G502">
        <v>576.44000000000005</v>
      </c>
      <c r="H502">
        <v>0.28999999999999998</v>
      </c>
      <c r="I502" t="s">
        <v>15</v>
      </c>
      <c r="J502">
        <v>1</v>
      </c>
      <c r="K502">
        <v>1.5</v>
      </c>
      <c r="L502">
        <v>1227.82</v>
      </c>
    </row>
    <row r="503" spans="1:12">
      <c r="A503">
        <v>10502</v>
      </c>
      <c r="B503" t="s">
        <v>537</v>
      </c>
      <c r="C503">
        <v>1871</v>
      </c>
      <c r="D503" t="s">
        <v>55</v>
      </c>
      <c r="E503" t="s">
        <v>30</v>
      </c>
      <c r="F503">
        <v>5</v>
      </c>
      <c r="G503">
        <v>529.21</v>
      </c>
      <c r="H503">
        <v>0.25</v>
      </c>
      <c r="I503" t="s">
        <v>31</v>
      </c>
      <c r="J503">
        <v>7</v>
      </c>
      <c r="K503">
        <v>4.4000000000000004</v>
      </c>
      <c r="L503">
        <v>1984.54</v>
      </c>
    </row>
    <row r="504" spans="1:12">
      <c r="A504">
        <v>10503</v>
      </c>
      <c r="B504" t="s">
        <v>538</v>
      </c>
      <c r="C504">
        <v>1685</v>
      </c>
      <c r="D504" t="s">
        <v>27</v>
      </c>
      <c r="E504" t="s">
        <v>32</v>
      </c>
      <c r="F504">
        <v>6</v>
      </c>
      <c r="G504">
        <v>456.49</v>
      </c>
      <c r="H504">
        <v>0.34</v>
      </c>
      <c r="I504" t="s">
        <v>31</v>
      </c>
      <c r="J504">
        <v>5</v>
      </c>
      <c r="K504">
        <v>2.4</v>
      </c>
      <c r="L504">
        <v>1807.7</v>
      </c>
    </row>
    <row r="505" spans="1:12">
      <c r="A505">
        <v>10504</v>
      </c>
      <c r="B505" t="s">
        <v>539</v>
      </c>
      <c r="C505">
        <v>1791</v>
      </c>
      <c r="D505" t="s">
        <v>34</v>
      </c>
      <c r="E505" t="s">
        <v>14</v>
      </c>
      <c r="F505">
        <v>6</v>
      </c>
      <c r="G505">
        <v>561.08000000000004</v>
      </c>
      <c r="H505">
        <v>0.2</v>
      </c>
      <c r="I505" t="s">
        <v>28</v>
      </c>
      <c r="J505">
        <v>4</v>
      </c>
      <c r="K505">
        <v>1.5</v>
      </c>
      <c r="L505">
        <v>2693.18</v>
      </c>
    </row>
    <row r="506" spans="1:12">
      <c r="A506">
        <v>10505</v>
      </c>
      <c r="B506" t="s">
        <v>540</v>
      </c>
      <c r="C506">
        <v>1625</v>
      </c>
      <c r="D506" t="s">
        <v>34</v>
      </c>
      <c r="E506" t="s">
        <v>43</v>
      </c>
      <c r="F506">
        <v>2</v>
      </c>
      <c r="G506">
        <v>143.78</v>
      </c>
      <c r="H506">
        <v>0.03</v>
      </c>
      <c r="I506" t="s">
        <v>28</v>
      </c>
      <c r="J506">
        <v>3</v>
      </c>
      <c r="K506">
        <v>3.5</v>
      </c>
      <c r="L506">
        <v>278.93</v>
      </c>
    </row>
    <row r="507" spans="1:12">
      <c r="A507">
        <v>10506</v>
      </c>
      <c r="B507" t="s">
        <v>541</v>
      </c>
      <c r="C507">
        <v>1287</v>
      </c>
      <c r="D507" t="s">
        <v>27</v>
      </c>
      <c r="E507" t="s">
        <v>14</v>
      </c>
      <c r="F507">
        <v>6</v>
      </c>
      <c r="G507">
        <v>504.28</v>
      </c>
      <c r="H507">
        <v>0.21</v>
      </c>
      <c r="I507" t="s">
        <v>28</v>
      </c>
      <c r="J507">
        <v>10</v>
      </c>
      <c r="K507">
        <v>3.3</v>
      </c>
      <c r="L507">
        <v>2390.29</v>
      </c>
    </row>
    <row r="508" spans="1:12">
      <c r="A508">
        <v>10507</v>
      </c>
      <c r="B508" t="s">
        <v>542</v>
      </c>
      <c r="C508">
        <v>1942</v>
      </c>
      <c r="D508" t="s">
        <v>13</v>
      </c>
      <c r="E508" t="s">
        <v>30</v>
      </c>
      <c r="F508">
        <v>6</v>
      </c>
      <c r="G508">
        <v>418.64</v>
      </c>
      <c r="H508">
        <v>0.24</v>
      </c>
      <c r="I508" t="s">
        <v>31</v>
      </c>
      <c r="J508">
        <v>7</v>
      </c>
      <c r="K508">
        <v>2.9</v>
      </c>
      <c r="L508">
        <v>1909</v>
      </c>
    </row>
    <row r="509" spans="1:12">
      <c r="A509">
        <v>10508</v>
      </c>
      <c r="B509" t="s">
        <v>543</v>
      </c>
      <c r="C509">
        <v>1853</v>
      </c>
      <c r="D509" t="s">
        <v>13</v>
      </c>
      <c r="E509" t="s">
        <v>30</v>
      </c>
      <c r="F509">
        <v>4</v>
      </c>
      <c r="G509">
        <v>523.80999999999995</v>
      </c>
      <c r="H509">
        <v>0.08</v>
      </c>
      <c r="I509" t="s">
        <v>15</v>
      </c>
      <c r="J509">
        <v>2</v>
      </c>
      <c r="K509">
        <v>4.4000000000000004</v>
      </c>
      <c r="L509">
        <v>1927.62</v>
      </c>
    </row>
    <row r="510" spans="1:12">
      <c r="A510">
        <v>10509</v>
      </c>
      <c r="B510" t="s">
        <v>544</v>
      </c>
      <c r="C510">
        <v>1662</v>
      </c>
      <c r="D510" t="s">
        <v>34</v>
      </c>
      <c r="E510" t="s">
        <v>14</v>
      </c>
      <c r="F510">
        <v>7</v>
      </c>
      <c r="G510">
        <v>481.19</v>
      </c>
      <c r="H510">
        <v>0.14000000000000001</v>
      </c>
      <c r="I510" t="s">
        <v>15</v>
      </c>
      <c r="J510">
        <v>5</v>
      </c>
      <c r="K510">
        <v>2.1</v>
      </c>
      <c r="L510">
        <v>2896.76</v>
      </c>
    </row>
    <row r="511" spans="1:12">
      <c r="A511">
        <v>10510</v>
      </c>
      <c r="B511" t="s">
        <v>545</v>
      </c>
      <c r="C511">
        <v>1961</v>
      </c>
      <c r="D511" t="s">
        <v>34</v>
      </c>
      <c r="E511" t="s">
        <v>14</v>
      </c>
      <c r="F511">
        <v>6</v>
      </c>
      <c r="G511">
        <v>217.7</v>
      </c>
      <c r="H511">
        <v>0.21</v>
      </c>
      <c r="I511" t="s">
        <v>28</v>
      </c>
      <c r="J511">
        <v>2</v>
      </c>
      <c r="K511">
        <v>1.1000000000000001</v>
      </c>
      <c r="L511">
        <v>1031.9000000000001</v>
      </c>
    </row>
    <row r="512" spans="1:12">
      <c r="A512">
        <v>10511</v>
      </c>
      <c r="B512" t="s">
        <v>546</v>
      </c>
      <c r="C512">
        <v>1638</v>
      </c>
      <c r="D512" t="s">
        <v>13</v>
      </c>
      <c r="E512" t="s">
        <v>43</v>
      </c>
      <c r="F512">
        <v>6</v>
      </c>
      <c r="G512">
        <v>468.02</v>
      </c>
      <c r="H512">
        <v>0.13</v>
      </c>
      <c r="I512" t="s">
        <v>31</v>
      </c>
      <c r="J512">
        <v>7</v>
      </c>
      <c r="K512">
        <v>2.2999999999999998</v>
      </c>
      <c r="L512">
        <v>2443.06</v>
      </c>
    </row>
    <row r="513" spans="1:12">
      <c r="A513">
        <v>10512</v>
      </c>
      <c r="B513" t="s">
        <v>547</v>
      </c>
      <c r="C513">
        <v>1154</v>
      </c>
      <c r="D513" t="s">
        <v>55</v>
      </c>
      <c r="E513" t="s">
        <v>30</v>
      </c>
      <c r="F513">
        <v>3</v>
      </c>
      <c r="G513">
        <v>168.54</v>
      </c>
      <c r="H513">
        <v>0.13</v>
      </c>
      <c r="I513" t="s">
        <v>28</v>
      </c>
      <c r="J513">
        <v>6</v>
      </c>
      <c r="K513">
        <v>1</v>
      </c>
      <c r="L513">
        <v>439.89</v>
      </c>
    </row>
    <row r="514" spans="1:12">
      <c r="A514">
        <v>10513</v>
      </c>
      <c r="B514" t="s">
        <v>548</v>
      </c>
      <c r="C514">
        <v>1489</v>
      </c>
      <c r="D514" t="s">
        <v>13</v>
      </c>
      <c r="E514" t="s">
        <v>14</v>
      </c>
      <c r="F514">
        <v>7</v>
      </c>
      <c r="G514">
        <v>207.23</v>
      </c>
      <c r="H514">
        <v>0.05</v>
      </c>
      <c r="I514" t="s">
        <v>28</v>
      </c>
      <c r="J514">
        <v>10</v>
      </c>
      <c r="K514">
        <v>3.2</v>
      </c>
      <c r="L514">
        <v>1378.08</v>
      </c>
    </row>
    <row r="515" spans="1:12">
      <c r="A515">
        <v>10514</v>
      </c>
      <c r="B515" t="s">
        <v>549</v>
      </c>
      <c r="C515">
        <v>1385</v>
      </c>
      <c r="D515" t="s">
        <v>34</v>
      </c>
      <c r="E515" t="s">
        <v>32</v>
      </c>
      <c r="F515">
        <v>3</v>
      </c>
      <c r="G515">
        <v>78.12</v>
      </c>
      <c r="H515">
        <v>0.33</v>
      </c>
      <c r="I515" t="s">
        <v>15</v>
      </c>
      <c r="J515">
        <v>7</v>
      </c>
      <c r="K515">
        <v>2.5</v>
      </c>
      <c r="L515">
        <v>157.02000000000001</v>
      </c>
    </row>
    <row r="516" spans="1:12">
      <c r="A516">
        <v>10515</v>
      </c>
      <c r="B516" t="s">
        <v>550</v>
      </c>
      <c r="C516">
        <v>1985</v>
      </c>
      <c r="D516" t="s">
        <v>27</v>
      </c>
      <c r="E516" t="s">
        <v>30</v>
      </c>
      <c r="F516">
        <v>1</v>
      </c>
      <c r="G516">
        <v>562.02</v>
      </c>
      <c r="H516">
        <v>0.26</v>
      </c>
      <c r="I516" t="s">
        <v>31</v>
      </c>
      <c r="J516">
        <v>9</v>
      </c>
      <c r="K516">
        <v>4.3</v>
      </c>
      <c r="L516">
        <v>415.89</v>
      </c>
    </row>
    <row r="517" spans="1:12">
      <c r="A517">
        <v>10516</v>
      </c>
      <c r="B517" t="s">
        <v>551</v>
      </c>
      <c r="C517">
        <v>1784</v>
      </c>
      <c r="D517" t="s">
        <v>55</v>
      </c>
      <c r="E517" t="s">
        <v>30</v>
      </c>
      <c r="F517">
        <v>1</v>
      </c>
      <c r="G517">
        <v>185.24</v>
      </c>
      <c r="H517">
        <v>0</v>
      </c>
      <c r="I517" t="s">
        <v>31</v>
      </c>
      <c r="J517">
        <v>2</v>
      </c>
      <c r="K517">
        <v>4.2</v>
      </c>
      <c r="L517">
        <v>185.24</v>
      </c>
    </row>
    <row r="518" spans="1:12">
      <c r="A518">
        <v>10517</v>
      </c>
      <c r="B518" t="s">
        <v>552</v>
      </c>
      <c r="C518">
        <v>1103</v>
      </c>
      <c r="D518" t="s">
        <v>55</v>
      </c>
      <c r="E518" t="s">
        <v>43</v>
      </c>
      <c r="F518">
        <v>6</v>
      </c>
      <c r="G518">
        <v>319.56</v>
      </c>
      <c r="H518">
        <v>0.27</v>
      </c>
      <c r="I518" t="s">
        <v>28</v>
      </c>
      <c r="J518">
        <v>9</v>
      </c>
      <c r="K518">
        <v>2.7</v>
      </c>
      <c r="L518">
        <v>1399.67</v>
      </c>
    </row>
    <row r="519" spans="1:12">
      <c r="A519">
        <v>10518</v>
      </c>
      <c r="B519" t="s">
        <v>553</v>
      </c>
      <c r="C519">
        <v>1928</v>
      </c>
      <c r="D519" t="s">
        <v>27</v>
      </c>
      <c r="E519" t="s">
        <v>32</v>
      </c>
      <c r="F519">
        <v>6</v>
      </c>
      <c r="G519">
        <v>243.93</v>
      </c>
      <c r="H519">
        <v>0.26</v>
      </c>
      <c r="I519" t="s">
        <v>28</v>
      </c>
      <c r="J519">
        <v>7</v>
      </c>
      <c r="K519">
        <v>1.9</v>
      </c>
      <c r="L519">
        <v>1083.05</v>
      </c>
    </row>
    <row r="520" spans="1:12">
      <c r="A520">
        <v>10519</v>
      </c>
      <c r="B520" t="s">
        <v>554</v>
      </c>
      <c r="C520">
        <v>1392</v>
      </c>
      <c r="D520" t="s">
        <v>34</v>
      </c>
      <c r="E520" t="s">
        <v>43</v>
      </c>
      <c r="F520">
        <v>2</v>
      </c>
      <c r="G520">
        <v>576.55999999999995</v>
      </c>
      <c r="H520">
        <v>0</v>
      </c>
      <c r="I520" t="s">
        <v>31</v>
      </c>
      <c r="J520">
        <v>2</v>
      </c>
      <c r="K520">
        <v>2.7</v>
      </c>
      <c r="L520">
        <v>1153.1199999999999</v>
      </c>
    </row>
    <row r="521" spans="1:12">
      <c r="A521">
        <v>10520</v>
      </c>
      <c r="B521" t="s">
        <v>555</v>
      </c>
      <c r="C521">
        <v>1810</v>
      </c>
      <c r="D521" t="s">
        <v>27</v>
      </c>
      <c r="E521" t="s">
        <v>32</v>
      </c>
      <c r="F521">
        <v>1</v>
      </c>
      <c r="G521">
        <v>211</v>
      </c>
      <c r="H521">
        <v>0.13</v>
      </c>
      <c r="I521" t="s">
        <v>28</v>
      </c>
      <c r="J521">
        <v>10</v>
      </c>
      <c r="K521">
        <v>3.6</v>
      </c>
      <c r="L521">
        <v>183.57</v>
      </c>
    </row>
    <row r="522" spans="1:12">
      <c r="A522">
        <v>10521</v>
      </c>
      <c r="B522" t="s">
        <v>556</v>
      </c>
      <c r="C522">
        <v>1245</v>
      </c>
      <c r="D522" t="s">
        <v>34</v>
      </c>
      <c r="E522" t="s">
        <v>43</v>
      </c>
      <c r="F522">
        <v>4</v>
      </c>
      <c r="G522">
        <v>470.45</v>
      </c>
      <c r="H522">
        <v>0.21</v>
      </c>
      <c r="I522" t="s">
        <v>28</v>
      </c>
      <c r="J522">
        <v>2</v>
      </c>
      <c r="K522">
        <v>1.8</v>
      </c>
      <c r="L522">
        <v>1486.62</v>
      </c>
    </row>
    <row r="523" spans="1:12">
      <c r="A523">
        <v>10522</v>
      </c>
      <c r="B523" t="s">
        <v>557</v>
      </c>
      <c r="C523">
        <v>1175</v>
      </c>
      <c r="D523" t="s">
        <v>27</v>
      </c>
      <c r="E523" t="s">
        <v>32</v>
      </c>
      <c r="F523">
        <v>6</v>
      </c>
      <c r="G523">
        <v>515.41999999999996</v>
      </c>
      <c r="H523">
        <v>0.16</v>
      </c>
      <c r="I523" t="s">
        <v>28</v>
      </c>
      <c r="J523">
        <v>4</v>
      </c>
      <c r="K523">
        <v>4.0999999999999996</v>
      </c>
      <c r="L523">
        <v>2597.7199999999998</v>
      </c>
    </row>
    <row r="524" spans="1:12">
      <c r="A524">
        <v>10523</v>
      </c>
      <c r="B524" t="s">
        <v>558</v>
      </c>
      <c r="C524">
        <v>1038</v>
      </c>
      <c r="D524" t="s">
        <v>13</v>
      </c>
      <c r="E524" t="s">
        <v>32</v>
      </c>
      <c r="F524">
        <v>4</v>
      </c>
      <c r="G524">
        <v>269.83</v>
      </c>
      <c r="H524">
        <v>0.27</v>
      </c>
      <c r="I524" t="s">
        <v>31</v>
      </c>
      <c r="J524">
        <v>2</v>
      </c>
      <c r="K524">
        <v>2.2999999999999998</v>
      </c>
      <c r="L524">
        <v>787.9</v>
      </c>
    </row>
    <row r="525" spans="1:12">
      <c r="A525">
        <v>10524</v>
      </c>
      <c r="B525" t="s">
        <v>559</v>
      </c>
      <c r="C525">
        <v>1476</v>
      </c>
      <c r="D525" t="s">
        <v>27</v>
      </c>
      <c r="E525" t="s">
        <v>32</v>
      </c>
      <c r="F525">
        <v>6</v>
      </c>
      <c r="G525">
        <v>236.23</v>
      </c>
      <c r="H525">
        <v>0.15</v>
      </c>
      <c r="I525" t="s">
        <v>15</v>
      </c>
      <c r="J525">
        <v>1</v>
      </c>
      <c r="K525">
        <v>4.7</v>
      </c>
      <c r="L525">
        <v>1204.77</v>
      </c>
    </row>
    <row r="526" spans="1:12">
      <c r="A526">
        <v>10525</v>
      </c>
      <c r="B526" t="s">
        <v>560</v>
      </c>
      <c r="C526">
        <v>1681</v>
      </c>
      <c r="D526" t="s">
        <v>55</v>
      </c>
      <c r="E526" t="s">
        <v>14</v>
      </c>
      <c r="F526">
        <v>4</v>
      </c>
      <c r="G526">
        <v>452.43</v>
      </c>
      <c r="H526">
        <v>0.05</v>
      </c>
      <c r="I526" t="s">
        <v>15</v>
      </c>
      <c r="J526">
        <v>6</v>
      </c>
      <c r="K526">
        <v>3</v>
      </c>
      <c r="L526">
        <v>1719.23</v>
      </c>
    </row>
    <row r="527" spans="1:12">
      <c r="A527">
        <v>10526</v>
      </c>
      <c r="B527" t="s">
        <v>561</v>
      </c>
      <c r="C527">
        <v>1758</v>
      </c>
      <c r="D527" t="s">
        <v>34</v>
      </c>
      <c r="E527" t="s">
        <v>30</v>
      </c>
      <c r="F527">
        <v>5</v>
      </c>
      <c r="G527">
        <v>549.04</v>
      </c>
      <c r="H527">
        <v>0.34</v>
      </c>
      <c r="I527" t="s">
        <v>15</v>
      </c>
      <c r="J527">
        <v>10</v>
      </c>
      <c r="K527">
        <v>4.4000000000000004</v>
      </c>
      <c r="L527">
        <v>1811.83</v>
      </c>
    </row>
    <row r="528" spans="1:12">
      <c r="A528">
        <v>10527</v>
      </c>
      <c r="B528" t="s">
        <v>562</v>
      </c>
      <c r="C528">
        <v>1537</v>
      </c>
      <c r="D528" t="s">
        <v>55</v>
      </c>
      <c r="E528" t="s">
        <v>32</v>
      </c>
      <c r="F528">
        <v>4</v>
      </c>
      <c r="G528">
        <v>456.64</v>
      </c>
      <c r="H528">
        <v>0.08</v>
      </c>
      <c r="I528" t="s">
        <v>15</v>
      </c>
      <c r="J528">
        <v>11</v>
      </c>
      <c r="K528">
        <v>3.5</v>
      </c>
      <c r="L528">
        <v>1680.44</v>
      </c>
    </row>
    <row r="529" spans="1:12">
      <c r="A529">
        <v>10528</v>
      </c>
      <c r="B529" t="s">
        <v>563</v>
      </c>
      <c r="C529">
        <v>1866</v>
      </c>
      <c r="D529" t="s">
        <v>13</v>
      </c>
      <c r="E529" t="s">
        <v>14</v>
      </c>
      <c r="F529">
        <v>7</v>
      </c>
      <c r="G529">
        <v>147.87</v>
      </c>
      <c r="H529">
        <v>0.25</v>
      </c>
      <c r="I529" t="s">
        <v>15</v>
      </c>
      <c r="J529">
        <v>5</v>
      </c>
      <c r="K529">
        <v>3.2</v>
      </c>
      <c r="L529">
        <v>776.32</v>
      </c>
    </row>
    <row r="530" spans="1:12">
      <c r="A530">
        <v>10529</v>
      </c>
      <c r="B530" t="s">
        <v>564</v>
      </c>
      <c r="C530">
        <v>1817</v>
      </c>
      <c r="D530" t="s">
        <v>34</v>
      </c>
      <c r="E530" t="s">
        <v>14</v>
      </c>
      <c r="F530">
        <v>1</v>
      </c>
      <c r="G530">
        <v>534.66</v>
      </c>
      <c r="H530">
        <v>0.05</v>
      </c>
      <c r="I530" t="s">
        <v>31</v>
      </c>
      <c r="J530">
        <v>3</v>
      </c>
      <c r="K530">
        <v>3.7</v>
      </c>
      <c r="L530">
        <v>507.93</v>
      </c>
    </row>
    <row r="531" spans="1:12">
      <c r="A531">
        <v>10530</v>
      </c>
      <c r="B531" t="s">
        <v>565</v>
      </c>
      <c r="C531">
        <v>1920</v>
      </c>
      <c r="D531" t="s">
        <v>34</v>
      </c>
      <c r="E531" t="s">
        <v>43</v>
      </c>
      <c r="F531">
        <v>6</v>
      </c>
      <c r="G531">
        <v>241.74</v>
      </c>
      <c r="H531">
        <v>0.12</v>
      </c>
      <c r="I531" t="s">
        <v>31</v>
      </c>
      <c r="J531">
        <v>11</v>
      </c>
      <c r="K531">
        <v>4.2</v>
      </c>
      <c r="L531">
        <v>1276.3900000000001</v>
      </c>
    </row>
    <row r="532" spans="1:12">
      <c r="A532">
        <v>10531</v>
      </c>
      <c r="B532" t="s">
        <v>566</v>
      </c>
      <c r="C532">
        <v>1407</v>
      </c>
      <c r="D532" t="s">
        <v>27</v>
      </c>
      <c r="E532" t="s">
        <v>30</v>
      </c>
      <c r="F532">
        <v>1</v>
      </c>
      <c r="G532">
        <v>352.09</v>
      </c>
      <c r="H532">
        <v>0.15</v>
      </c>
      <c r="I532" t="s">
        <v>28</v>
      </c>
      <c r="J532">
        <v>1</v>
      </c>
      <c r="K532">
        <v>3.6</v>
      </c>
      <c r="L532">
        <v>299.27999999999997</v>
      </c>
    </row>
    <row r="533" spans="1:12">
      <c r="A533">
        <v>10532</v>
      </c>
      <c r="B533" t="s">
        <v>567</v>
      </c>
      <c r="C533">
        <v>1524</v>
      </c>
      <c r="D533" t="s">
        <v>34</v>
      </c>
      <c r="E533" t="s">
        <v>30</v>
      </c>
      <c r="F533">
        <v>7</v>
      </c>
      <c r="G533">
        <v>501.39</v>
      </c>
      <c r="H533">
        <v>7.0000000000000007E-2</v>
      </c>
      <c r="I533" t="s">
        <v>15</v>
      </c>
      <c r="J533">
        <v>9</v>
      </c>
      <c r="K533">
        <v>4.2</v>
      </c>
      <c r="L533">
        <v>3264.05</v>
      </c>
    </row>
    <row r="534" spans="1:12">
      <c r="A534">
        <v>10533</v>
      </c>
      <c r="B534" t="s">
        <v>568</v>
      </c>
      <c r="C534">
        <v>1827</v>
      </c>
      <c r="D534" t="s">
        <v>55</v>
      </c>
      <c r="E534" t="s">
        <v>43</v>
      </c>
      <c r="F534">
        <v>7</v>
      </c>
      <c r="G534">
        <v>125.21</v>
      </c>
      <c r="H534">
        <v>0.16</v>
      </c>
      <c r="I534" t="s">
        <v>28</v>
      </c>
      <c r="J534">
        <v>8</v>
      </c>
      <c r="K534">
        <v>1.8</v>
      </c>
      <c r="L534">
        <v>736.23</v>
      </c>
    </row>
    <row r="535" spans="1:12">
      <c r="A535">
        <v>10534</v>
      </c>
      <c r="B535" t="s">
        <v>569</v>
      </c>
      <c r="C535">
        <v>1505</v>
      </c>
      <c r="D535" t="s">
        <v>13</v>
      </c>
      <c r="E535" t="s">
        <v>30</v>
      </c>
      <c r="F535">
        <v>4</v>
      </c>
      <c r="G535">
        <v>473.94</v>
      </c>
      <c r="H535">
        <v>0.06</v>
      </c>
      <c r="I535" t="s">
        <v>28</v>
      </c>
      <c r="J535">
        <v>6</v>
      </c>
      <c r="K535">
        <v>2.1</v>
      </c>
      <c r="L535">
        <v>1782.01</v>
      </c>
    </row>
    <row r="536" spans="1:12">
      <c r="A536">
        <v>10535</v>
      </c>
      <c r="B536" t="s">
        <v>570</v>
      </c>
      <c r="C536">
        <v>1902</v>
      </c>
      <c r="D536" t="s">
        <v>27</v>
      </c>
      <c r="E536" t="s">
        <v>43</v>
      </c>
      <c r="F536">
        <v>3</v>
      </c>
      <c r="G536">
        <v>363.76</v>
      </c>
      <c r="H536">
        <v>0.2</v>
      </c>
      <c r="I536" t="s">
        <v>15</v>
      </c>
      <c r="J536">
        <v>6</v>
      </c>
      <c r="K536">
        <v>1.9</v>
      </c>
      <c r="L536">
        <v>873.02</v>
      </c>
    </row>
    <row r="537" spans="1:12">
      <c r="A537">
        <v>10536</v>
      </c>
      <c r="B537" t="s">
        <v>571</v>
      </c>
      <c r="C537">
        <v>1824</v>
      </c>
      <c r="D537" t="s">
        <v>34</v>
      </c>
      <c r="E537" t="s">
        <v>14</v>
      </c>
      <c r="F537">
        <v>3</v>
      </c>
      <c r="G537">
        <v>537.6</v>
      </c>
      <c r="H537">
        <v>0.23</v>
      </c>
      <c r="I537" t="s">
        <v>28</v>
      </c>
      <c r="J537">
        <v>4</v>
      </c>
      <c r="K537">
        <v>4.2</v>
      </c>
      <c r="L537">
        <v>1241.8599999999999</v>
      </c>
    </row>
    <row r="538" spans="1:12">
      <c r="A538">
        <v>10537</v>
      </c>
      <c r="B538" t="s">
        <v>572</v>
      </c>
      <c r="C538">
        <v>1035</v>
      </c>
      <c r="D538" t="s">
        <v>27</v>
      </c>
      <c r="E538" t="s">
        <v>14</v>
      </c>
      <c r="F538">
        <v>7</v>
      </c>
      <c r="G538">
        <v>115.6</v>
      </c>
      <c r="H538">
        <v>0.02</v>
      </c>
      <c r="I538" t="s">
        <v>15</v>
      </c>
      <c r="J538">
        <v>2</v>
      </c>
      <c r="K538">
        <v>1.3</v>
      </c>
      <c r="L538">
        <v>793.02</v>
      </c>
    </row>
    <row r="539" spans="1:12">
      <c r="A539">
        <v>10538</v>
      </c>
      <c r="B539" t="s">
        <v>573</v>
      </c>
      <c r="C539">
        <v>1684</v>
      </c>
      <c r="D539" t="s">
        <v>55</v>
      </c>
      <c r="E539" t="s">
        <v>32</v>
      </c>
      <c r="F539">
        <v>3</v>
      </c>
      <c r="G539">
        <v>261.10000000000002</v>
      </c>
      <c r="H539">
        <v>0.3</v>
      </c>
      <c r="I539" t="s">
        <v>31</v>
      </c>
      <c r="J539">
        <v>4</v>
      </c>
      <c r="K539">
        <v>4.2</v>
      </c>
      <c r="L539">
        <v>548.30999999999995</v>
      </c>
    </row>
    <row r="540" spans="1:12">
      <c r="A540">
        <v>10539</v>
      </c>
      <c r="B540" t="s">
        <v>574</v>
      </c>
      <c r="C540">
        <v>1019</v>
      </c>
      <c r="D540" t="s">
        <v>34</v>
      </c>
      <c r="E540" t="s">
        <v>43</v>
      </c>
      <c r="F540">
        <v>6</v>
      </c>
      <c r="G540">
        <v>502.21</v>
      </c>
      <c r="H540">
        <v>0.06</v>
      </c>
      <c r="I540" t="s">
        <v>28</v>
      </c>
      <c r="J540">
        <v>2</v>
      </c>
      <c r="K540">
        <v>2.6</v>
      </c>
      <c r="L540">
        <v>2832.46</v>
      </c>
    </row>
    <row r="541" spans="1:12">
      <c r="A541">
        <v>10540</v>
      </c>
      <c r="B541" t="s">
        <v>575</v>
      </c>
      <c r="C541">
        <v>1320</v>
      </c>
      <c r="D541" t="s">
        <v>27</v>
      </c>
      <c r="E541" t="s">
        <v>14</v>
      </c>
      <c r="F541">
        <v>2</v>
      </c>
      <c r="G541">
        <v>26.25</v>
      </c>
      <c r="H541">
        <v>0.08</v>
      </c>
      <c r="I541" t="s">
        <v>31</v>
      </c>
      <c r="J541">
        <v>7</v>
      </c>
      <c r="K541">
        <v>1.3</v>
      </c>
      <c r="L541">
        <v>48.3</v>
      </c>
    </row>
    <row r="542" spans="1:12">
      <c r="A542">
        <v>10541</v>
      </c>
      <c r="B542" t="s">
        <v>576</v>
      </c>
      <c r="C542">
        <v>1775</v>
      </c>
      <c r="D542" t="s">
        <v>27</v>
      </c>
      <c r="E542" t="s">
        <v>14</v>
      </c>
      <c r="F542">
        <v>5</v>
      </c>
      <c r="G542">
        <v>80.64</v>
      </c>
      <c r="H542">
        <v>0.23</v>
      </c>
      <c r="I542" t="s">
        <v>15</v>
      </c>
      <c r="J542">
        <v>9</v>
      </c>
      <c r="K542">
        <v>2.7</v>
      </c>
      <c r="L542">
        <v>310.45999999999998</v>
      </c>
    </row>
    <row r="543" spans="1:12">
      <c r="A543">
        <v>10542</v>
      </c>
      <c r="B543" t="s">
        <v>577</v>
      </c>
      <c r="C543">
        <v>1511</v>
      </c>
      <c r="D543" t="s">
        <v>27</v>
      </c>
      <c r="E543" t="s">
        <v>43</v>
      </c>
      <c r="F543">
        <v>4</v>
      </c>
      <c r="G543">
        <v>594.48</v>
      </c>
      <c r="H543">
        <v>0.16</v>
      </c>
      <c r="I543" t="s">
        <v>28</v>
      </c>
      <c r="J543">
        <v>2</v>
      </c>
      <c r="K543">
        <v>2.2000000000000002</v>
      </c>
      <c r="L543">
        <v>1997.45</v>
      </c>
    </row>
    <row r="544" spans="1:12">
      <c r="A544">
        <v>10543</v>
      </c>
      <c r="B544" t="s">
        <v>578</v>
      </c>
      <c r="C544">
        <v>1399</v>
      </c>
      <c r="D544" t="s">
        <v>34</v>
      </c>
      <c r="E544" t="s">
        <v>14</v>
      </c>
      <c r="F544">
        <v>2</v>
      </c>
      <c r="G544">
        <v>179.03</v>
      </c>
      <c r="H544">
        <v>0.17</v>
      </c>
      <c r="I544" t="s">
        <v>31</v>
      </c>
      <c r="J544">
        <v>9</v>
      </c>
      <c r="K544">
        <v>3.4</v>
      </c>
      <c r="L544">
        <v>297.19</v>
      </c>
    </row>
    <row r="545" spans="1:12">
      <c r="A545">
        <v>10544</v>
      </c>
      <c r="B545" t="s">
        <v>579</v>
      </c>
      <c r="C545">
        <v>1653</v>
      </c>
      <c r="D545" t="s">
        <v>55</v>
      </c>
      <c r="E545" t="s">
        <v>30</v>
      </c>
      <c r="F545">
        <v>3</v>
      </c>
      <c r="G545">
        <v>585.69000000000005</v>
      </c>
      <c r="H545">
        <v>0.04</v>
      </c>
      <c r="I545" t="s">
        <v>15</v>
      </c>
      <c r="J545">
        <v>9</v>
      </c>
      <c r="K545">
        <v>2.9</v>
      </c>
      <c r="L545">
        <v>1686.79</v>
      </c>
    </row>
    <row r="546" spans="1:12">
      <c r="A546">
        <v>10545</v>
      </c>
      <c r="B546" t="s">
        <v>580</v>
      </c>
      <c r="C546">
        <v>1971</v>
      </c>
      <c r="D546" t="s">
        <v>34</v>
      </c>
      <c r="E546" t="s">
        <v>14</v>
      </c>
      <c r="F546">
        <v>4</v>
      </c>
      <c r="G546">
        <v>121.78</v>
      </c>
      <c r="H546">
        <v>0.28000000000000003</v>
      </c>
      <c r="I546" t="s">
        <v>28</v>
      </c>
      <c r="J546">
        <v>8</v>
      </c>
      <c r="K546">
        <v>2.2000000000000002</v>
      </c>
      <c r="L546">
        <v>350.73</v>
      </c>
    </row>
    <row r="547" spans="1:12">
      <c r="A547">
        <v>10546</v>
      </c>
      <c r="B547" t="s">
        <v>581</v>
      </c>
      <c r="C547">
        <v>1882</v>
      </c>
      <c r="D547" t="s">
        <v>34</v>
      </c>
      <c r="E547" t="s">
        <v>43</v>
      </c>
      <c r="F547">
        <v>2</v>
      </c>
      <c r="G547">
        <v>226.24</v>
      </c>
      <c r="H547">
        <v>0.22</v>
      </c>
      <c r="I547" t="s">
        <v>28</v>
      </c>
      <c r="J547">
        <v>1</v>
      </c>
      <c r="K547">
        <v>4.4000000000000004</v>
      </c>
      <c r="L547">
        <v>352.93</v>
      </c>
    </row>
    <row r="548" spans="1:12">
      <c r="A548">
        <v>10547</v>
      </c>
      <c r="B548" t="s">
        <v>582</v>
      </c>
      <c r="C548">
        <v>1470</v>
      </c>
      <c r="D548" t="s">
        <v>13</v>
      </c>
      <c r="E548" t="s">
        <v>30</v>
      </c>
      <c r="F548">
        <v>1</v>
      </c>
      <c r="G548">
        <v>455.43</v>
      </c>
      <c r="H548">
        <v>0.05</v>
      </c>
      <c r="I548" t="s">
        <v>28</v>
      </c>
      <c r="J548">
        <v>5</v>
      </c>
      <c r="K548">
        <v>2.6</v>
      </c>
      <c r="L548">
        <v>432.66</v>
      </c>
    </row>
    <row r="549" spans="1:12">
      <c r="A549">
        <v>10548</v>
      </c>
      <c r="B549" t="s">
        <v>583</v>
      </c>
      <c r="C549">
        <v>1142</v>
      </c>
      <c r="D549" t="s">
        <v>55</v>
      </c>
      <c r="E549" t="s">
        <v>30</v>
      </c>
      <c r="F549">
        <v>3</v>
      </c>
      <c r="G549">
        <v>399.8</v>
      </c>
      <c r="H549">
        <v>0.13</v>
      </c>
      <c r="I549" t="s">
        <v>28</v>
      </c>
      <c r="J549">
        <v>10</v>
      </c>
      <c r="K549">
        <v>2.9</v>
      </c>
      <c r="L549">
        <v>1043.48</v>
      </c>
    </row>
    <row r="550" spans="1:12">
      <c r="A550">
        <v>10549</v>
      </c>
      <c r="B550" t="s">
        <v>584</v>
      </c>
      <c r="C550">
        <v>1091</v>
      </c>
      <c r="D550" t="s">
        <v>34</v>
      </c>
      <c r="E550" t="s">
        <v>14</v>
      </c>
      <c r="F550">
        <v>2</v>
      </c>
      <c r="G550">
        <v>354.96</v>
      </c>
      <c r="H550">
        <v>0.28000000000000003</v>
      </c>
      <c r="I550" t="s">
        <v>28</v>
      </c>
      <c r="J550">
        <v>11</v>
      </c>
      <c r="K550">
        <v>4.4000000000000004</v>
      </c>
      <c r="L550">
        <v>511.14</v>
      </c>
    </row>
    <row r="551" spans="1:12">
      <c r="A551">
        <v>10550</v>
      </c>
      <c r="B551" t="s">
        <v>585</v>
      </c>
      <c r="C551">
        <v>1353</v>
      </c>
      <c r="D551" t="s">
        <v>34</v>
      </c>
      <c r="E551" t="s">
        <v>32</v>
      </c>
      <c r="F551">
        <v>6</v>
      </c>
      <c r="G551">
        <v>324.99</v>
      </c>
      <c r="H551">
        <v>0.2</v>
      </c>
      <c r="I551" t="s">
        <v>31</v>
      </c>
      <c r="J551">
        <v>4</v>
      </c>
      <c r="K551">
        <v>1.4</v>
      </c>
      <c r="L551">
        <v>1559.95</v>
      </c>
    </row>
    <row r="552" spans="1:12">
      <c r="A552">
        <v>10551</v>
      </c>
      <c r="B552" t="s">
        <v>586</v>
      </c>
      <c r="C552">
        <v>1833</v>
      </c>
      <c r="D552" t="s">
        <v>34</v>
      </c>
      <c r="E552" t="s">
        <v>30</v>
      </c>
      <c r="F552">
        <v>1</v>
      </c>
      <c r="G552">
        <v>508.41</v>
      </c>
      <c r="H552">
        <v>0.04</v>
      </c>
      <c r="I552" t="s">
        <v>28</v>
      </c>
      <c r="J552">
        <v>7</v>
      </c>
      <c r="K552">
        <v>2.6</v>
      </c>
      <c r="L552">
        <v>488.07</v>
      </c>
    </row>
    <row r="553" spans="1:12">
      <c r="A553">
        <v>10552</v>
      </c>
      <c r="B553" t="s">
        <v>587</v>
      </c>
      <c r="C553">
        <v>1799</v>
      </c>
      <c r="D553" t="s">
        <v>34</v>
      </c>
      <c r="E553" t="s">
        <v>43</v>
      </c>
      <c r="F553">
        <v>3</v>
      </c>
      <c r="G553">
        <v>152.44</v>
      </c>
      <c r="H553">
        <v>0.13</v>
      </c>
      <c r="I553" t="s">
        <v>15</v>
      </c>
      <c r="J553">
        <v>11</v>
      </c>
      <c r="K553">
        <v>2.6</v>
      </c>
      <c r="L553">
        <v>397.87</v>
      </c>
    </row>
    <row r="554" spans="1:12">
      <c r="A554">
        <v>10553</v>
      </c>
      <c r="B554" t="s">
        <v>588</v>
      </c>
      <c r="C554">
        <v>1726</v>
      </c>
      <c r="D554" t="s">
        <v>34</v>
      </c>
      <c r="E554" t="s">
        <v>32</v>
      </c>
      <c r="F554">
        <v>5</v>
      </c>
      <c r="G554">
        <v>273.85000000000002</v>
      </c>
      <c r="H554">
        <v>0.08</v>
      </c>
      <c r="I554" t="s">
        <v>28</v>
      </c>
      <c r="J554">
        <v>8</v>
      </c>
      <c r="K554">
        <v>3</v>
      </c>
      <c r="L554">
        <v>1259.71</v>
      </c>
    </row>
    <row r="555" spans="1:12">
      <c r="A555">
        <v>10554</v>
      </c>
      <c r="B555" t="s">
        <v>589</v>
      </c>
      <c r="C555">
        <v>1958</v>
      </c>
      <c r="D555" t="s">
        <v>34</v>
      </c>
      <c r="E555" t="s">
        <v>32</v>
      </c>
      <c r="F555">
        <v>7</v>
      </c>
      <c r="G555">
        <v>105.94</v>
      </c>
      <c r="H555">
        <v>0.18</v>
      </c>
      <c r="I555" t="s">
        <v>31</v>
      </c>
      <c r="J555">
        <v>10</v>
      </c>
      <c r="K555">
        <v>1.4</v>
      </c>
      <c r="L555">
        <v>608.1</v>
      </c>
    </row>
    <row r="556" spans="1:12">
      <c r="A556">
        <v>10555</v>
      </c>
      <c r="B556" t="s">
        <v>590</v>
      </c>
      <c r="C556">
        <v>1853</v>
      </c>
      <c r="D556" t="s">
        <v>27</v>
      </c>
      <c r="E556" t="s">
        <v>30</v>
      </c>
      <c r="F556">
        <v>3</v>
      </c>
      <c r="G556">
        <v>363.63</v>
      </c>
      <c r="H556">
        <v>0.3</v>
      </c>
      <c r="I556" t="s">
        <v>31</v>
      </c>
      <c r="J556">
        <v>11</v>
      </c>
      <c r="K556">
        <v>1.4</v>
      </c>
      <c r="L556">
        <v>763.62</v>
      </c>
    </row>
    <row r="557" spans="1:12">
      <c r="A557">
        <v>10556</v>
      </c>
      <c r="B557" t="s">
        <v>591</v>
      </c>
      <c r="C557">
        <v>1050</v>
      </c>
      <c r="D557" t="s">
        <v>55</v>
      </c>
      <c r="E557" t="s">
        <v>14</v>
      </c>
      <c r="F557">
        <v>6</v>
      </c>
      <c r="G557">
        <v>161.57</v>
      </c>
      <c r="H557">
        <v>0.15</v>
      </c>
      <c r="I557" t="s">
        <v>15</v>
      </c>
      <c r="J557">
        <v>8</v>
      </c>
      <c r="K557">
        <v>2.7</v>
      </c>
      <c r="L557">
        <v>824.01</v>
      </c>
    </row>
    <row r="558" spans="1:12">
      <c r="A558">
        <v>10557</v>
      </c>
      <c r="B558" t="s">
        <v>592</v>
      </c>
      <c r="C558">
        <v>1664</v>
      </c>
      <c r="D558" t="s">
        <v>27</v>
      </c>
      <c r="E558" t="s">
        <v>32</v>
      </c>
      <c r="F558">
        <v>5</v>
      </c>
      <c r="G558">
        <v>210.3</v>
      </c>
      <c r="H558">
        <v>0.15</v>
      </c>
      <c r="I558" t="s">
        <v>31</v>
      </c>
      <c r="J558">
        <v>2</v>
      </c>
      <c r="K558">
        <v>1.1000000000000001</v>
      </c>
      <c r="L558">
        <v>893.78</v>
      </c>
    </row>
    <row r="559" spans="1:12">
      <c r="A559">
        <v>10558</v>
      </c>
      <c r="B559" t="s">
        <v>593</v>
      </c>
      <c r="C559">
        <v>1697</v>
      </c>
      <c r="D559" t="s">
        <v>55</v>
      </c>
      <c r="E559" t="s">
        <v>14</v>
      </c>
      <c r="F559">
        <v>5</v>
      </c>
      <c r="G559">
        <v>290.68</v>
      </c>
      <c r="H559">
        <v>0.32</v>
      </c>
      <c r="I559" t="s">
        <v>28</v>
      </c>
      <c r="J559">
        <v>3</v>
      </c>
      <c r="K559">
        <v>2</v>
      </c>
      <c r="L559">
        <v>988.31</v>
      </c>
    </row>
    <row r="560" spans="1:12">
      <c r="A560">
        <v>10559</v>
      </c>
      <c r="B560" t="s">
        <v>594</v>
      </c>
      <c r="C560">
        <v>1574</v>
      </c>
      <c r="D560" t="s">
        <v>34</v>
      </c>
      <c r="E560" t="s">
        <v>30</v>
      </c>
      <c r="F560">
        <v>5</v>
      </c>
      <c r="G560">
        <v>30.66</v>
      </c>
      <c r="H560">
        <v>0.2</v>
      </c>
      <c r="I560" t="s">
        <v>15</v>
      </c>
      <c r="J560">
        <v>10</v>
      </c>
      <c r="K560">
        <v>1.8</v>
      </c>
      <c r="L560">
        <v>122.64</v>
      </c>
    </row>
    <row r="561" spans="1:12">
      <c r="A561">
        <v>10560</v>
      </c>
      <c r="B561" t="s">
        <v>595</v>
      </c>
      <c r="C561">
        <v>1189</v>
      </c>
      <c r="D561" t="s">
        <v>13</v>
      </c>
      <c r="E561" t="s">
        <v>43</v>
      </c>
      <c r="F561">
        <v>4</v>
      </c>
      <c r="G561">
        <v>68.78</v>
      </c>
      <c r="H561">
        <v>0.2</v>
      </c>
      <c r="I561" t="s">
        <v>28</v>
      </c>
      <c r="J561">
        <v>10</v>
      </c>
      <c r="K561">
        <v>3</v>
      </c>
      <c r="L561">
        <v>220.1</v>
      </c>
    </row>
    <row r="562" spans="1:12">
      <c r="A562">
        <v>10561</v>
      </c>
      <c r="B562" t="s">
        <v>596</v>
      </c>
      <c r="C562">
        <v>1124</v>
      </c>
      <c r="D562" t="s">
        <v>55</v>
      </c>
      <c r="E562" t="s">
        <v>32</v>
      </c>
      <c r="F562">
        <v>4</v>
      </c>
      <c r="G562">
        <v>416.27</v>
      </c>
      <c r="H562">
        <v>0.09</v>
      </c>
      <c r="I562" t="s">
        <v>28</v>
      </c>
      <c r="J562">
        <v>7</v>
      </c>
      <c r="K562">
        <v>1</v>
      </c>
      <c r="L562">
        <v>1515.22</v>
      </c>
    </row>
    <row r="563" spans="1:12">
      <c r="A563">
        <v>10562</v>
      </c>
      <c r="B563" t="s">
        <v>597</v>
      </c>
      <c r="C563">
        <v>1149</v>
      </c>
      <c r="D563" t="s">
        <v>55</v>
      </c>
      <c r="E563" t="s">
        <v>43</v>
      </c>
      <c r="F563">
        <v>7</v>
      </c>
      <c r="G563">
        <v>265.95</v>
      </c>
      <c r="H563">
        <v>0.21</v>
      </c>
      <c r="I563" t="s">
        <v>28</v>
      </c>
      <c r="J563">
        <v>4</v>
      </c>
      <c r="K563">
        <v>3.7</v>
      </c>
      <c r="L563">
        <v>1470.7</v>
      </c>
    </row>
    <row r="564" spans="1:12">
      <c r="A564">
        <v>10563</v>
      </c>
      <c r="B564" t="s">
        <v>598</v>
      </c>
      <c r="C564">
        <v>1313</v>
      </c>
      <c r="D564" t="s">
        <v>55</v>
      </c>
      <c r="E564" t="s">
        <v>14</v>
      </c>
      <c r="F564">
        <v>5</v>
      </c>
      <c r="G564">
        <v>520.9</v>
      </c>
      <c r="H564">
        <v>0.2</v>
      </c>
      <c r="I564" t="s">
        <v>31</v>
      </c>
      <c r="J564">
        <v>6</v>
      </c>
      <c r="K564">
        <v>4.4000000000000004</v>
      </c>
      <c r="L564">
        <v>2083.6</v>
      </c>
    </row>
    <row r="565" spans="1:12">
      <c r="A565">
        <v>10564</v>
      </c>
      <c r="B565" t="s">
        <v>599</v>
      </c>
      <c r="C565">
        <v>1569</v>
      </c>
      <c r="D565" t="s">
        <v>13</v>
      </c>
      <c r="E565" t="s">
        <v>14</v>
      </c>
      <c r="F565">
        <v>7</v>
      </c>
      <c r="G565">
        <v>421.38</v>
      </c>
      <c r="H565">
        <v>0.14000000000000001</v>
      </c>
      <c r="I565" t="s">
        <v>28</v>
      </c>
      <c r="J565">
        <v>8</v>
      </c>
      <c r="K565">
        <v>3.8</v>
      </c>
      <c r="L565">
        <v>2536.71</v>
      </c>
    </row>
    <row r="566" spans="1:12">
      <c r="A566">
        <v>10565</v>
      </c>
      <c r="B566" t="s">
        <v>600</v>
      </c>
      <c r="C566">
        <v>1341</v>
      </c>
      <c r="D566" t="s">
        <v>27</v>
      </c>
      <c r="E566" t="s">
        <v>43</v>
      </c>
      <c r="F566">
        <v>1</v>
      </c>
      <c r="G566">
        <v>19.739999999999998</v>
      </c>
      <c r="H566">
        <v>0.35</v>
      </c>
      <c r="I566" t="s">
        <v>31</v>
      </c>
      <c r="J566">
        <v>8</v>
      </c>
      <c r="K566">
        <v>4.3</v>
      </c>
      <c r="L566">
        <v>12.83</v>
      </c>
    </row>
    <row r="567" spans="1:12">
      <c r="A567">
        <v>10566</v>
      </c>
      <c r="B567" t="s">
        <v>601</v>
      </c>
      <c r="C567">
        <v>1304</v>
      </c>
      <c r="D567" t="s">
        <v>34</v>
      </c>
      <c r="E567" t="s">
        <v>30</v>
      </c>
      <c r="F567">
        <v>5</v>
      </c>
      <c r="G567">
        <v>375.78</v>
      </c>
      <c r="H567">
        <v>0.31</v>
      </c>
      <c r="I567" t="s">
        <v>31</v>
      </c>
      <c r="J567">
        <v>7</v>
      </c>
      <c r="K567">
        <v>3.6</v>
      </c>
      <c r="L567">
        <v>1296.44</v>
      </c>
    </row>
    <row r="568" spans="1:12">
      <c r="A568">
        <v>10567</v>
      </c>
      <c r="B568" t="s">
        <v>602</v>
      </c>
      <c r="C568">
        <v>1691</v>
      </c>
      <c r="D568" t="s">
        <v>27</v>
      </c>
      <c r="E568" t="s">
        <v>30</v>
      </c>
      <c r="F568">
        <v>2</v>
      </c>
      <c r="G568">
        <v>69.83</v>
      </c>
      <c r="H568">
        <v>0.26</v>
      </c>
      <c r="I568" t="s">
        <v>15</v>
      </c>
      <c r="J568">
        <v>2</v>
      </c>
      <c r="K568">
        <v>3</v>
      </c>
      <c r="L568">
        <v>103.35</v>
      </c>
    </row>
    <row r="569" spans="1:12">
      <c r="A569">
        <v>10568</v>
      </c>
      <c r="B569" t="s">
        <v>603</v>
      </c>
      <c r="C569">
        <v>1681</v>
      </c>
      <c r="D569" t="s">
        <v>55</v>
      </c>
      <c r="E569" t="s">
        <v>32</v>
      </c>
      <c r="F569">
        <v>5</v>
      </c>
      <c r="G569">
        <v>471.85</v>
      </c>
      <c r="H569">
        <v>0.19</v>
      </c>
      <c r="I569" t="s">
        <v>28</v>
      </c>
      <c r="J569">
        <v>2</v>
      </c>
      <c r="K569">
        <v>1.9</v>
      </c>
      <c r="L569">
        <v>1910.99</v>
      </c>
    </row>
    <row r="570" spans="1:12">
      <c r="A570">
        <v>10569</v>
      </c>
      <c r="B570" t="s">
        <v>604</v>
      </c>
      <c r="C570">
        <v>1837</v>
      </c>
      <c r="D570" t="s">
        <v>55</v>
      </c>
      <c r="E570" t="s">
        <v>32</v>
      </c>
      <c r="F570">
        <v>4</v>
      </c>
      <c r="G570">
        <v>595.03</v>
      </c>
      <c r="H570">
        <v>0.16</v>
      </c>
      <c r="I570" t="s">
        <v>28</v>
      </c>
      <c r="J570">
        <v>3</v>
      </c>
      <c r="K570">
        <v>2.1</v>
      </c>
      <c r="L570">
        <v>1999.3</v>
      </c>
    </row>
    <row r="571" spans="1:12">
      <c r="A571">
        <v>10570</v>
      </c>
      <c r="B571" t="s">
        <v>605</v>
      </c>
      <c r="C571">
        <v>1782</v>
      </c>
      <c r="D571" t="s">
        <v>27</v>
      </c>
      <c r="E571" t="s">
        <v>30</v>
      </c>
      <c r="F571">
        <v>4</v>
      </c>
      <c r="G571">
        <v>325.75</v>
      </c>
      <c r="H571">
        <v>0.06</v>
      </c>
      <c r="I571" t="s">
        <v>28</v>
      </c>
      <c r="J571">
        <v>4</v>
      </c>
      <c r="K571">
        <v>2.2999999999999998</v>
      </c>
      <c r="L571">
        <v>1224.82</v>
      </c>
    </row>
    <row r="572" spans="1:12">
      <c r="A572">
        <v>10571</v>
      </c>
      <c r="B572" t="s">
        <v>606</v>
      </c>
      <c r="C572">
        <v>1053</v>
      </c>
      <c r="D572" t="s">
        <v>34</v>
      </c>
      <c r="E572" t="s">
        <v>30</v>
      </c>
      <c r="F572">
        <v>2</v>
      </c>
      <c r="G572">
        <v>414.43</v>
      </c>
      <c r="H572">
        <v>0.11</v>
      </c>
      <c r="I572" t="s">
        <v>28</v>
      </c>
      <c r="J572">
        <v>1</v>
      </c>
      <c r="K572">
        <v>1.2</v>
      </c>
      <c r="L572">
        <v>737.69</v>
      </c>
    </row>
    <row r="573" spans="1:12">
      <c r="A573">
        <v>10572</v>
      </c>
      <c r="B573" t="s">
        <v>607</v>
      </c>
      <c r="C573">
        <v>1443</v>
      </c>
      <c r="D573" t="s">
        <v>27</v>
      </c>
      <c r="E573" t="s">
        <v>43</v>
      </c>
      <c r="F573">
        <v>2</v>
      </c>
      <c r="G573">
        <v>153.83000000000001</v>
      </c>
      <c r="H573">
        <v>0.27</v>
      </c>
      <c r="I573" t="s">
        <v>31</v>
      </c>
      <c r="J573">
        <v>5</v>
      </c>
      <c r="K573">
        <v>4.7</v>
      </c>
      <c r="L573">
        <v>224.59</v>
      </c>
    </row>
    <row r="574" spans="1:12">
      <c r="A574">
        <v>10573</v>
      </c>
      <c r="B574" t="s">
        <v>608</v>
      </c>
      <c r="C574">
        <v>1612</v>
      </c>
      <c r="D574" t="s">
        <v>13</v>
      </c>
      <c r="E574" t="s">
        <v>14</v>
      </c>
      <c r="F574">
        <v>3</v>
      </c>
      <c r="G574">
        <v>270.99</v>
      </c>
      <c r="H574">
        <v>0.16</v>
      </c>
      <c r="I574" t="s">
        <v>31</v>
      </c>
      <c r="J574">
        <v>7</v>
      </c>
      <c r="K574">
        <v>4.5999999999999996</v>
      </c>
      <c r="L574">
        <v>682.89</v>
      </c>
    </row>
    <row r="575" spans="1:12">
      <c r="A575">
        <v>10574</v>
      </c>
      <c r="B575" t="s">
        <v>609</v>
      </c>
      <c r="C575">
        <v>1992</v>
      </c>
      <c r="D575" t="s">
        <v>27</v>
      </c>
      <c r="E575" t="s">
        <v>14</v>
      </c>
      <c r="F575">
        <v>1</v>
      </c>
      <c r="G575">
        <v>515.82000000000005</v>
      </c>
      <c r="H575">
        <v>0.31</v>
      </c>
      <c r="I575" t="s">
        <v>31</v>
      </c>
      <c r="J575">
        <v>10</v>
      </c>
      <c r="K575">
        <v>1.4</v>
      </c>
      <c r="L575">
        <v>355.92</v>
      </c>
    </row>
    <row r="576" spans="1:12">
      <c r="A576">
        <v>10575</v>
      </c>
      <c r="B576" t="s">
        <v>610</v>
      </c>
      <c r="C576">
        <v>1263</v>
      </c>
      <c r="D576" t="s">
        <v>27</v>
      </c>
      <c r="E576" t="s">
        <v>32</v>
      </c>
      <c r="F576">
        <v>1</v>
      </c>
      <c r="G576">
        <v>112.94</v>
      </c>
      <c r="H576">
        <v>0.05</v>
      </c>
      <c r="I576" t="s">
        <v>15</v>
      </c>
      <c r="J576">
        <v>11</v>
      </c>
      <c r="K576">
        <v>3.2</v>
      </c>
      <c r="L576">
        <v>107.29</v>
      </c>
    </row>
    <row r="577" spans="1:12">
      <c r="A577">
        <v>10576</v>
      </c>
      <c r="B577" t="s">
        <v>611</v>
      </c>
      <c r="C577">
        <v>1052</v>
      </c>
      <c r="D577" t="s">
        <v>34</v>
      </c>
      <c r="E577" t="s">
        <v>30</v>
      </c>
      <c r="F577">
        <v>1</v>
      </c>
      <c r="G577">
        <v>170.34</v>
      </c>
      <c r="H577">
        <v>0.18</v>
      </c>
      <c r="I577" t="s">
        <v>15</v>
      </c>
      <c r="J577">
        <v>5</v>
      </c>
      <c r="K577">
        <v>2.9</v>
      </c>
      <c r="L577">
        <v>139.68</v>
      </c>
    </row>
    <row r="578" spans="1:12">
      <c r="A578">
        <v>10577</v>
      </c>
      <c r="B578" t="s">
        <v>612</v>
      </c>
      <c r="C578">
        <v>1571</v>
      </c>
      <c r="D578" t="s">
        <v>27</v>
      </c>
      <c r="E578" t="s">
        <v>43</v>
      </c>
      <c r="F578">
        <v>6</v>
      </c>
      <c r="G578">
        <v>275.58</v>
      </c>
      <c r="H578">
        <v>0.23</v>
      </c>
      <c r="I578" t="s">
        <v>28</v>
      </c>
      <c r="J578">
        <v>7</v>
      </c>
      <c r="K578">
        <v>3.7</v>
      </c>
      <c r="L578">
        <v>1273.18</v>
      </c>
    </row>
    <row r="579" spans="1:12">
      <c r="A579">
        <v>10578</v>
      </c>
      <c r="B579" t="s">
        <v>613</v>
      </c>
      <c r="C579">
        <v>1619</v>
      </c>
      <c r="D579" t="s">
        <v>13</v>
      </c>
      <c r="E579" t="s">
        <v>32</v>
      </c>
      <c r="F579">
        <v>4</v>
      </c>
      <c r="G579">
        <v>431.67</v>
      </c>
      <c r="H579">
        <v>0.18</v>
      </c>
      <c r="I579" t="s">
        <v>15</v>
      </c>
      <c r="J579">
        <v>5</v>
      </c>
      <c r="K579">
        <v>3.4</v>
      </c>
      <c r="L579">
        <v>1415.88</v>
      </c>
    </row>
    <row r="580" spans="1:12">
      <c r="A580">
        <v>10579</v>
      </c>
      <c r="B580" t="s">
        <v>614</v>
      </c>
      <c r="C580">
        <v>1004</v>
      </c>
      <c r="D580" t="s">
        <v>55</v>
      </c>
      <c r="E580" t="s">
        <v>43</v>
      </c>
      <c r="F580">
        <v>1</v>
      </c>
      <c r="G580">
        <v>234.89</v>
      </c>
      <c r="H580">
        <v>0.31</v>
      </c>
      <c r="I580" t="s">
        <v>28</v>
      </c>
      <c r="J580">
        <v>11</v>
      </c>
      <c r="K580">
        <v>1.5</v>
      </c>
      <c r="L580">
        <v>162.07</v>
      </c>
    </row>
    <row r="581" spans="1:12">
      <c r="A581">
        <v>10580</v>
      </c>
      <c r="B581" t="s">
        <v>615</v>
      </c>
      <c r="C581">
        <v>1102</v>
      </c>
      <c r="D581" t="s">
        <v>55</v>
      </c>
      <c r="E581" t="s">
        <v>30</v>
      </c>
      <c r="F581">
        <v>3</v>
      </c>
      <c r="G581">
        <v>557.72</v>
      </c>
      <c r="H581">
        <v>0.35</v>
      </c>
      <c r="I581" t="s">
        <v>31</v>
      </c>
      <c r="J581">
        <v>10</v>
      </c>
      <c r="K581">
        <v>3.6</v>
      </c>
      <c r="L581">
        <v>1087.55</v>
      </c>
    </row>
    <row r="582" spans="1:12">
      <c r="A582">
        <v>10581</v>
      </c>
      <c r="B582" t="s">
        <v>616</v>
      </c>
      <c r="C582">
        <v>1195</v>
      </c>
      <c r="D582" t="s">
        <v>27</v>
      </c>
      <c r="E582" t="s">
        <v>30</v>
      </c>
      <c r="F582">
        <v>3</v>
      </c>
      <c r="G582">
        <v>70.260000000000005</v>
      </c>
      <c r="H582">
        <v>0.04</v>
      </c>
      <c r="I582" t="s">
        <v>31</v>
      </c>
      <c r="J582">
        <v>8</v>
      </c>
      <c r="K582">
        <v>3.4</v>
      </c>
      <c r="L582">
        <v>202.35</v>
      </c>
    </row>
    <row r="583" spans="1:12">
      <c r="A583">
        <v>10582</v>
      </c>
      <c r="B583" t="s">
        <v>617</v>
      </c>
      <c r="C583">
        <v>1773</v>
      </c>
      <c r="D583" t="s">
        <v>27</v>
      </c>
      <c r="E583" t="s">
        <v>30</v>
      </c>
      <c r="F583">
        <v>1</v>
      </c>
      <c r="G583">
        <v>231.92</v>
      </c>
      <c r="H583">
        <v>0.05</v>
      </c>
      <c r="I583" t="s">
        <v>15</v>
      </c>
      <c r="J583">
        <v>7</v>
      </c>
      <c r="K583">
        <v>3.1</v>
      </c>
      <c r="L583">
        <v>220.32</v>
      </c>
    </row>
    <row r="584" spans="1:12">
      <c r="A584">
        <v>10583</v>
      </c>
      <c r="B584" t="s">
        <v>618</v>
      </c>
      <c r="C584">
        <v>1876</v>
      </c>
      <c r="D584" t="s">
        <v>34</v>
      </c>
      <c r="E584" t="s">
        <v>14</v>
      </c>
      <c r="F584">
        <v>2</v>
      </c>
      <c r="G584">
        <v>429.74</v>
      </c>
      <c r="H584">
        <v>0.05</v>
      </c>
      <c r="I584" t="s">
        <v>31</v>
      </c>
      <c r="J584">
        <v>1</v>
      </c>
      <c r="K584">
        <v>2.6</v>
      </c>
      <c r="L584">
        <v>816.51</v>
      </c>
    </row>
    <row r="585" spans="1:12">
      <c r="A585">
        <v>10584</v>
      </c>
      <c r="B585" t="s">
        <v>619</v>
      </c>
      <c r="C585">
        <v>1991</v>
      </c>
      <c r="D585" t="s">
        <v>55</v>
      </c>
      <c r="E585" t="s">
        <v>30</v>
      </c>
      <c r="F585">
        <v>3</v>
      </c>
      <c r="G585">
        <v>147.19999999999999</v>
      </c>
      <c r="H585">
        <v>0.24</v>
      </c>
      <c r="I585" t="s">
        <v>31</v>
      </c>
      <c r="J585">
        <v>11</v>
      </c>
      <c r="K585">
        <v>4.8</v>
      </c>
      <c r="L585">
        <v>335.62</v>
      </c>
    </row>
    <row r="586" spans="1:12">
      <c r="A586">
        <v>10585</v>
      </c>
      <c r="B586" t="s">
        <v>620</v>
      </c>
      <c r="C586">
        <v>1883</v>
      </c>
      <c r="D586" t="s">
        <v>27</v>
      </c>
      <c r="E586" t="s">
        <v>32</v>
      </c>
      <c r="F586">
        <v>7</v>
      </c>
      <c r="G586">
        <v>399</v>
      </c>
      <c r="H586">
        <v>0.13</v>
      </c>
      <c r="I586" t="s">
        <v>15</v>
      </c>
      <c r="J586">
        <v>1</v>
      </c>
      <c r="K586">
        <v>4.4000000000000004</v>
      </c>
      <c r="L586">
        <v>2429.91</v>
      </c>
    </row>
    <row r="587" spans="1:12">
      <c r="A587">
        <v>10586</v>
      </c>
      <c r="B587" t="s">
        <v>621</v>
      </c>
      <c r="C587">
        <v>1349</v>
      </c>
      <c r="D587" t="s">
        <v>27</v>
      </c>
      <c r="E587" t="s">
        <v>14</v>
      </c>
      <c r="F587">
        <v>2</v>
      </c>
      <c r="G587">
        <v>111.07</v>
      </c>
      <c r="H587">
        <v>0.26</v>
      </c>
      <c r="I587" t="s">
        <v>31</v>
      </c>
      <c r="J587">
        <v>5</v>
      </c>
      <c r="K587">
        <v>3.3</v>
      </c>
      <c r="L587">
        <v>164.38</v>
      </c>
    </row>
    <row r="588" spans="1:12">
      <c r="A588">
        <v>10587</v>
      </c>
      <c r="B588" t="s">
        <v>622</v>
      </c>
      <c r="C588">
        <v>1046</v>
      </c>
      <c r="D588" t="s">
        <v>27</v>
      </c>
      <c r="E588" t="s">
        <v>43</v>
      </c>
      <c r="F588">
        <v>7</v>
      </c>
      <c r="G588">
        <v>47.75</v>
      </c>
      <c r="H588">
        <v>0.14000000000000001</v>
      </c>
      <c r="I588" t="s">
        <v>31</v>
      </c>
      <c r="J588">
        <v>2</v>
      </c>
      <c r="K588">
        <v>1</v>
      </c>
      <c r="L588">
        <v>287.45999999999998</v>
      </c>
    </row>
    <row r="589" spans="1:12">
      <c r="A589">
        <v>10588</v>
      </c>
      <c r="B589" t="s">
        <v>623</v>
      </c>
      <c r="C589">
        <v>1866</v>
      </c>
      <c r="D589" t="s">
        <v>13</v>
      </c>
      <c r="E589" t="s">
        <v>32</v>
      </c>
      <c r="F589">
        <v>4</v>
      </c>
      <c r="G589">
        <v>85.79</v>
      </c>
      <c r="H589">
        <v>0.22</v>
      </c>
      <c r="I589" t="s">
        <v>28</v>
      </c>
      <c r="J589">
        <v>9</v>
      </c>
      <c r="K589">
        <v>2.7</v>
      </c>
      <c r="L589">
        <v>267.66000000000003</v>
      </c>
    </row>
    <row r="590" spans="1:12">
      <c r="A590">
        <v>10589</v>
      </c>
      <c r="B590" t="s">
        <v>624</v>
      </c>
      <c r="C590">
        <v>1822</v>
      </c>
      <c r="D590" t="s">
        <v>34</v>
      </c>
      <c r="E590" t="s">
        <v>32</v>
      </c>
      <c r="F590">
        <v>6</v>
      </c>
      <c r="G590">
        <v>559.04</v>
      </c>
      <c r="H590">
        <v>0.27</v>
      </c>
      <c r="I590" t="s">
        <v>28</v>
      </c>
      <c r="J590">
        <v>2</v>
      </c>
      <c r="K590">
        <v>3.8</v>
      </c>
      <c r="L590">
        <v>2448.6</v>
      </c>
    </row>
    <row r="591" spans="1:12">
      <c r="A591">
        <v>10590</v>
      </c>
      <c r="B591" t="s">
        <v>625</v>
      </c>
      <c r="C591">
        <v>1935</v>
      </c>
      <c r="D591" t="s">
        <v>55</v>
      </c>
      <c r="E591" t="s">
        <v>43</v>
      </c>
      <c r="F591">
        <v>3</v>
      </c>
      <c r="G591">
        <v>337.77</v>
      </c>
      <c r="H591">
        <v>0.19</v>
      </c>
      <c r="I591" t="s">
        <v>15</v>
      </c>
      <c r="J591">
        <v>9</v>
      </c>
      <c r="K591">
        <v>1.5</v>
      </c>
      <c r="L591">
        <v>820.78</v>
      </c>
    </row>
    <row r="592" spans="1:12">
      <c r="A592">
        <v>10591</v>
      </c>
      <c r="B592" t="s">
        <v>626</v>
      </c>
      <c r="C592">
        <v>1819</v>
      </c>
      <c r="D592" t="s">
        <v>34</v>
      </c>
      <c r="E592" t="s">
        <v>14</v>
      </c>
      <c r="F592">
        <v>2</v>
      </c>
      <c r="G592">
        <v>480.86</v>
      </c>
      <c r="H592">
        <v>0.19</v>
      </c>
      <c r="I592" t="s">
        <v>31</v>
      </c>
      <c r="J592">
        <v>10</v>
      </c>
      <c r="K592">
        <v>2.6</v>
      </c>
      <c r="L592">
        <v>778.99</v>
      </c>
    </row>
    <row r="593" spans="1:12">
      <c r="A593">
        <v>10592</v>
      </c>
      <c r="B593" t="s">
        <v>627</v>
      </c>
      <c r="C593">
        <v>1655</v>
      </c>
      <c r="D593" t="s">
        <v>27</v>
      </c>
      <c r="E593" t="s">
        <v>32</v>
      </c>
      <c r="F593">
        <v>7</v>
      </c>
      <c r="G593">
        <v>209.6</v>
      </c>
      <c r="H593">
        <v>0.03</v>
      </c>
      <c r="I593" t="s">
        <v>31</v>
      </c>
      <c r="J593">
        <v>2</v>
      </c>
      <c r="K593">
        <v>1.8</v>
      </c>
      <c r="L593">
        <v>1423.18</v>
      </c>
    </row>
    <row r="594" spans="1:12">
      <c r="A594">
        <v>10593</v>
      </c>
      <c r="B594" t="s">
        <v>628</v>
      </c>
      <c r="C594">
        <v>1268</v>
      </c>
      <c r="D594" t="s">
        <v>34</v>
      </c>
      <c r="E594" t="s">
        <v>32</v>
      </c>
      <c r="F594">
        <v>1</v>
      </c>
      <c r="G594">
        <v>361.71</v>
      </c>
      <c r="H594">
        <v>0.14000000000000001</v>
      </c>
      <c r="I594" t="s">
        <v>28</v>
      </c>
      <c r="J594">
        <v>4</v>
      </c>
      <c r="K594">
        <v>2.4</v>
      </c>
      <c r="L594">
        <v>311.07</v>
      </c>
    </row>
    <row r="595" spans="1:12">
      <c r="A595">
        <v>10594</v>
      </c>
      <c r="B595" t="s">
        <v>629</v>
      </c>
      <c r="C595">
        <v>1369</v>
      </c>
      <c r="D595" t="s">
        <v>34</v>
      </c>
      <c r="E595" t="s">
        <v>32</v>
      </c>
      <c r="F595">
        <v>7</v>
      </c>
      <c r="G595">
        <v>304.55</v>
      </c>
      <c r="H595">
        <v>0.19</v>
      </c>
      <c r="I595" t="s">
        <v>28</v>
      </c>
      <c r="J595">
        <v>3</v>
      </c>
      <c r="K595">
        <v>1.1000000000000001</v>
      </c>
      <c r="L595">
        <v>1726.8</v>
      </c>
    </row>
    <row r="596" spans="1:12">
      <c r="A596">
        <v>10595</v>
      </c>
      <c r="B596" t="s">
        <v>630</v>
      </c>
      <c r="C596">
        <v>1635</v>
      </c>
      <c r="D596" t="s">
        <v>27</v>
      </c>
      <c r="E596" t="s">
        <v>14</v>
      </c>
      <c r="F596">
        <v>7</v>
      </c>
      <c r="G596">
        <v>568.26</v>
      </c>
      <c r="H596">
        <v>0.16</v>
      </c>
      <c r="I596" t="s">
        <v>28</v>
      </c>
      <c r="J596">
        <v>6</v>
      </c>
      <c r="K596">
        <v>1.5</v>
      </c>
      <c r="L596">
        <v>3341.37</v>
      </c>
    </row>
    <row r="597" spans="1:12">
      <c r="A597">
        <v>10596</v>
      </c>
      <c r="B597" t="s">
        <v>631</v>
      </c>
      <c r="C597">
        <v>1105</v>
      </c>
      <c r="D597" t="s">
        <v>34</v>
      </c>
      <c r="E597" t="s">
        <v>14</v>
      </c>
      <c r="F597">
        <v>4</v>
      </c>
      <c r="G597">
        <v>452.33</v>
      </c>
      <c r="H597">
        <v>0.32</v>
      </c>
      <c r="I597" t="s">
        <v>31</v>
      </c>
      <c r="J597">
        <v>4</v>
      </c>
      <c r="K597">
        <v>2.8</v>
      </c>
      <c r="L597">
        <v>1230.3399999999999</v>
      </c>
    </row>
    <row r="598" spans="1:12">
      <c r="A598">
        <v>10597</v>
      </c>
      <c r="B598" t="s">
        <v>632</v>
      </c>
      <c r="C598">
        <v>1669</v>
      </c>
      <c r="D598" t="s">
        <v>27</v>
      </c>
      <c r="E598" t="s">
        <v>14</v>
      </c>
      <c r="F598">
        <v>5</v>
      </c>
      <c r="G598">
        <v>442.37</v>
      </c>
      <c r="H598">
        <v>0.32</v>
      </c>
      <c r="I598" t="s">
        <v>28</v>
      </c>
      <c r="J598">
        <v>9</v>
      </c>
      <c r="K598">
        <v>4.5999999999999996</v>
      </c>
      <c r="L598">
        <v>1504.06</v>
      </c>
    </row>
    <row r="599" spans="1:12">
      <c r="A599">
        <v>10598</v>
      </c>
      <c r="B599" t="s">
        <v>633</v>
      </c>
      <c r="C599">
        <v>1658</v>
      </c>
      <c r="D599" t="s">
        <v>13</v>
      </c>
      <c r="E599" t="s">
        <v>32</v>
      </c>
      <c r="F599">
        <v>5</v>
      </c>
      <c r="G599">
        <v>42.12</v>
      </c>
      <c r="H599">
        <v>0.28999999999999998</v>
      </c>
      <c r="I599" t="s">
        <v>28</v>
      </c>
      <c r="J599">
        <v>9</v>
      </c>
      <c r="K599">
        <v>3</v>
      </c>
      <c r="L599">
        <v>149.53</v>
      </c>
    </row>
    <row r="600" spans="1:12">
      <c r="A600">
        <v>10599</v>
      </c>
      <c r="B600" t="s">
        <v>634</v>
      </c>
      <c r="C600">
        <v>1656</v>
      </c>
      <c r="D600" t="s">
        <v>34</v>
      </c>
      <c r="E600" t="s">
        <v>30</v>
      </c>
      <c r="F600">
        <v>1</v>
      </c>
      <c r="G600">
        <v>336.56</v>
      </c>
      <c r="H600">
        <v>0.13</v>
      </c>
      <c r="I600" t="s">
        <v>31</v>
      </c>
      <c r="J600">
        <v>10</v>
      </c>
      <c r="K600">
        <v>2.8</v>
      </c>
      <c r="L600">
        <v>292.81</v>
      </c>
    </row>
    <row r="601" spans="1:12">
      <c r="A601">
        <v>10600</v>
      </c>
      <c r="B601" t="s">
        <v>635</v>
      </c>
      <c r="C601">
        <v>1119</v>
      </c>
      <c r="D601" t="s">
        <v>55</v>
      </c>
      <c r="E601" t="s">
        <v>43</v>
      </c>
      <c r="F601">
        <v>4</v>
      </c>
      <c r="G601">
        <v>288.19</v>
      </c>
      <c r="H601">
        <v>0.25</v>
      </c>
      <c r="I601" t="s">
        <v>31</v>
      </c>
      <c r="J601">
        <v>9</v>
      </c>
      <c r="K601">
        <v>4.2</v>
      </c>
      <c r="L601">
        <v>864.57</v>
      </c>
    </row>
    <row r="602" spans="1:12">
      <c r="A602">
        <v>10601</v>
      </c>
      <c r="B602" t="s">
        <v>636</v>
      </c>
      <c r="C602">
        <v>1830</v>
      </c>
      <c r="D602" t="s">
        <v>27</v>
      </c>
      <c r="E602" t="s">
        <v>30</v>
      </c>
      <c r="F602">
        <v>4</v>
      </c>
      <c r="G602">
        <v>557.79</v>
      </c>
      <c r="H602">
        <v>0.14000000000000001</v>
      </c>
      <c r="I602" t="s">
        <v>28</v>
      </c>
      <c r="J602">
        <v>3</v>
      </c>
      <c r="K602">
        <v>2.1</v>
      </c>
      <c r="L602">
        <v>1918.8</v>
      </c>
    </row>
    <row r="603" spans="1:12">
      <c r="A603">
        <v>10602</v>
      </c>
      <c r="B603" t="s">
        <v>637</v>
      </c>
      <c r="C603">
        <v>1786</v>
      </c>
      <c r="D603" t="s">
        <v>55</v>
      </c>
      <c r="E603" t="s">
        <v>14</v>
      </c>
      <c r="F603">
        <v>4</v>
      </c>
      <c r="G603">
        <v>165.55</v>
      </c>
      <c r="H603">
        <v>0.08</v>
      </c>
      <c r="I603" t="s">
        <v>31</v>
      </c>
      <c r="J603">
        <v>3</v>
      </c>
      <c r="K603">
        <v>1.4</v>
      </c>
      <c r="L603">
        <v>609.22</v>
      </c>
    </row>
    <row r="604" spans="1:12">
      <c r="A604">
        <v>10603</v>
      </c>
      <c r="B604" t="s">
        <v>638</v>
      </c>
      <c r="C604">
        <v>1603</v>
      </c>
      <c r="D604" t="s">
        <v>34</v>
      </c>
      <c r="E604" t="s">
        <v>32</v>
      </c>
      <c r="F604">
        <v>4</v>
      </c>
      <c r="G604">
        <v>172.85</v>
      </c>
      <c r="H604">
        <v>0.12</v>
      </c>
      <c r="I604" t="s">
        <v>15</v>
      </c>
      <c r="J604">
        <v>4</v>
      </c>
      <c r="K604">
        <v>1.8</v>
      </c>
      <c r="L604">
        <v>608.42999999999995</v>
      </c>
    </row>
    <row r="605" spans="1:12">
      <c r="A605">
        <v>10604</v>
      </c>
      <c r="B605" t="s">
        <v>639</v>
      </c>
      <c r="C605">
        <v>1057</v>
      </c>
      <c r="D605" t="s">
        <v>34</v>
      </c>
      <c r="E605" t="s">
        <v>32</v>
      </c>
      <c r="F605">
        <v>5</v>
      </c>
      <c r="G605">
        <v>255.64</v>
      </c>
      <c r="H605">
        <v>0.02</v>
      </c>
      <c r="I605" t="s">
        <v>31</v>
      </c>
      <c r="J605">
        <v>9</v>
      </c>
      <c r="K605">
        <v>4.2</v>
      </c>
      <c r="L605">
        <v>1252.6400000000001</v>
      </c>
    </row>
    <row r="606" spans="1:12">
      <c r="A606">
        <v>10605</v>
      </c>
      <c r="B606" t="s">
        <v>640</v>
      </c>
      <c r="C606">
        <v>1950</v>
      </c>
      <c r="D606" t="s">
        <v>34</v>
      </c>
      <c r="E606" t="s">
        <v>30</v>
      </c>
      <c r="F606">
        <v>2</v>
      </c>
      <c r="G606">
        <v>157.37</v>
      </c>
      <c r="H606">
        <v>0.12</v>
      </c>
      <c r="I606" t="s">
        <v>15</v>
      </c>
      <c r="J606">
        <v>6</v>
      </c>
      <c r="K606">
        <v>3.7</v>
      </c>
      <c r="L606">
        <v>276.97000000000003</v>
      </c>
    </row>
    <row r="607" spans="1:12">
      <c r="A607">
        <v>10606</v>
      </c>
      <c r="B607" t="s">
        <v>641</v>
      </c>
      <c r="C607">
        <v>1345</v>
      </c>
      <c r="D607" t="s">
        <v>34</v>
      </c>
      <c r="E607" t="s">
        <v>30</v>
      </c>
      <c r="F607">
        <v>4</v>
      </c>
      <c r="G607">
        <v>90.57</v>
      </c>
      <c r="H607">
        <v>0.16</v>
      </c>
      <c r="I607" t="s">
        <v>15</v>
      </c>
      <c r="J607">
        <v>9</v>
      </c>
      <c r="K607">
        <v>1.4</v>
      </c>
      <c r="L607">
        <v>304.32</v>
      </c>
    </row>
    <row r="608" spans="1:12">
      <c r="A608">
        <v>10607</v>
      </c>
      <c r="B608" t="s">
        <v>642</v>
      </c>
      <c r="C608">
        <v>1740</v>
      </c>
      <c r="D608" t="s">
        <v>34</v>
      </c>
      <c r="E608" t="s">
        <v>43</v>
      </c>
      <c r="F608">
        <v>2</v>
      </c>
      <c r="G608">
        <v>516.59</v>
      </c>
      <c r="H608">
        <v>0.33</v>
      </c>
      <c r="I608" t="s">
        <v>28</v>
      </c>
      <c r="J608">
        <v>8</v>
      </c>
      <c r="K608">
        <v>3.7</v>
      </c>
      <c r="L608">
        <v>692.23</v>
      </c>
    </row>
    <row r="609" spans="1:12">
      <c r="A609">
        <v>10608</v>
      </c>
      <c r="B609" t="s">
        <v>643</v>
      </c>
      <c r="C609">
        <v>1473</v>
      </c>
      <c r="D609" t="s">
        <v>55</v>
      </c>
      <c r="E609" t="s">
        <v>32</v>
      </c>
      <c r="F609">
        <v>7</v>
      </c>
      <c r="G609">
        <v>341.59</v>
      </c>
      <c r="H609">
        <v>0.11</v>
      </c>
      <c r="I609" t="s">
        <v>28</v>
      </c>
      <c r="J609">
        <v>7</v>
      </c>
      <c r="K609">
        <v>4.7</v>
      </c>
      <c r="L609">
        <v>2128.11</v>
      </c>
    </row>
    <row r="610" spans="1:12">
      <c r="A610">
        <v>10609</v>
      </c>
      <c r="B610" t="s">
        <v>644</v>
      </c>
      <c r="C610">
        <v>1116</v>
      </c>
      <c r="D610" t="s">
        <v>13</v>
      </c>
      <c r="E610" t="s">
        <v>30</v>
      </c>
      <c r="F610">
        <v>7</v>
      </c>
      <c r="G610">
        <v>518.9</v>
      </c>
      <c r="H610">
        <v>0.32</v>
      </c>
      <c r="I610" t="s">
        <v>31</v>
      </c>
      <c r="J610">
        <v>5</v>
      </c>
      <c r="K610">
        <v>1.2</v>
      </c>
      <c r="L610">
        <v>2469.96</v>
      </c>
    </row>
    <row r="611" spans="1:12">
      <c r="A611">
        <v>10610</v>
      </c>
      <c r="B611" t="s">
        <v>645</v>
      </c>
      <c r="C611">
        <v>1829</v>
      </c>
      <c r="D611" t="s">
        <v>55</v>
      </c>
      <c r="E611" t="s">
        <v>43</v>
      </c>
      <c r="F611">
        <v>4</v>
      </c>
      <c r="G611">
        <v>501.21</v>
      </c>
      <c r="H611">
        <v>0.08</v>
      </c>
      <c r="I611" t="s">
        <v>31</v>
      </c>
      <c r="J611">
        <v>9</v>
      </c>
      <c r="K611">
        <v>3.5</v>
      </c>
      <c r="L611">
        <v>1844.45</v>
      </c>
    </row>
    <row r="612" spans="1:12">
      <c r="A612">
        <v>10611</v>
      </c>
      <c r="B612" t="s">
        <v>646</v>
      </c>
      <c r="C612">
        <v>1790</v>
      </c>
      <c r="D612" t="s">
        <v>55</v>
      </c>
      <c r="E612" t="s">
        <v>14</v>
      </c>
      <c r="F612">
        <v>3</v>
      </c>
      <c r="G612">
        <v>179.99</v>
      </c>
      <c r="H612">
        <v>7.0000000000000007E-2</v>
      </c>
      <c r="I612" t="s">
        <v>28</v>
      </c>
      <c r="J612">
        <v>4</v>
      </c>
      <c r="K612">
        <v>2.5</v>
      </c>
      <c r="L612">
        <v>502.17</v>
      </c>
    </row>
    <row r="613" spans="1:12">
      <c r="A613">
        <v>10612</v>
      </c>
      <c r="B613" t="s">
        <v>647</v>
      </c>
      <c r="C613">
        <v>1126</v>
      </c>
      <c r="D613" t="s">
        <v>34</v>
      </c>
      <c r="E613" t="s">
        <v>30</v>
      </c>
      <c r="F613">
        <v>6</v>
      </c>
      <c r="G613">
        <v>335.43</v>
      </c>
      <c r="H613">
        <v>0.18</v>
      </c>
      <c r="I613" t="s">
        <v>28</v>
      </c>
      <c r="J613">
        <v>4</v>
      </c>
      <c r="K613">
        <v>3</v>
      </c>
      <c r="L613">
        <v>1650.32</v>
      </c>
    </row>
    <row r="614" spans="1:12">
      <c r="A614">
        <v>10613</v>
      </c>
      <c r="B614" t="s">
        <v>648</v>
      </c>
      <c r="C614">
        <v>1392</v>
      </c>
      <c r="D614" t="s">
        <v>34</v>
      </c>
      <c r="E614" t="s">
        <v>14</v>
      </c>
      <c r="F614">
        <v>3</v>
      </c>
      <c r="G614">
        <v>63.68</v>
      </c>
      <c r="H614">
        <v>0.24</v>
      </c>
      <c r="I614" t="s">
        <v>31</v>
      </c>
      <c r="J614">
        <v>8</v>
      </c>
      <c r="K614">
        <v>3.1</v>
      </c>
      <c r="L614">
        <v>145.19</v>
      </c>
    </row>
    <row r="615" spans="1:12">
      <c r="A615">
        <v>10614</v>
      </c>
      <c r="B615" t="s">
        <v>649</v>
      </c>
      <c r="C615">
        <v>1907</v>
      </c>
      <c r="D615" t="s">
        <v>34</v>
      </c>
      <c r="E615" t="s">
        <v>43</v>
      </c>
      <c r="F615">
        <v>7</v>
      </c>
      <c r="G615">
        <v>550.41999999999996</v>
      </c>
      <c r="H615">
        <v>0.02</v>
      </c>
      <c r="I615" t="s">
        <v>28</v>
      </c>
      <c r="J615">
        <v>4</v>
      </c>
      <c r="K615">
        <v>4.0999999999999996</v>
      </c>
      <c r="L615">
        <v>3775.88</v>
      </c>
    </row>
    <row r="616" spans="1:12">
      <c r="A616">
        <v>10615</v>
      </c>
      <c r="B616" t="s">
        <v>650</v>
      </c>
      <c r="C616">
        <v>1640</v>
      </c>
      <c r="D616" t="s">
        <v>34</v>
      </c>
      <c r="E616" t="s">
        <v>14</v>
      </c>
      <c r="F616">
        <v>6</v>
      </c>
      <c r="G616">
        <v>251.49</v>
      </c>
      <c r="H616">
        <v>0.08</v>
      </c>
      <c r="I616" t="s">
        <v>15</v>
      </c>
      <c r="J616">
        <v>7</v>
      </c>
      <c r="K616">
        <v>3.2</v>
      </c>
      <c r="L616">
        <v>1388.22</v>
      </c>
    </row>
    <row r="617" spans="1:12">
      <c r="A617">
        <v>10616</v>
      </c>
      <c r="B617" t="s">
        <v>651</v>
      </c>
      <c r="C617">
        <v>1057</v>
      </c>
      <c r="D617" t="s">
        <v>27</v>
      </c>
      <c r="E617" t="s">
        <v>32</v>
      </c>
      <c r="F617">
        <v>3</v>
      </c>
      <c r="G617">
        <v>245.3</v>
      </c>
      <c r="H617">
        <v>0.16</v>
      </c>
      <c r="I617" t="s">
        <v>28</v>
      </c>
      <c r="J617">
        <v>4</v>
      </c>
      <c r="K617">
        <v>3.4</v>
      </c>
      <c r="L617">
        <v>618.16</v>
      </c>
    </row>
    <row r="618" spans="1:12">
      <c r="A618">
        <v>10617</v>
      </c>
      <c r="B618" t="s">
        <v>652</v>
      </c>
      <c r="C618">
        <v>1633</v>
      </c>
      <c r="D618" t="s">
        <v>27</v>
      </c>
      <c r="E618" t="s">
        <v>32</v>
      </c>
      <c r="F618">
        <v>4</v>
      </c>
      <c r="G618">
        <v>192.11</v>
      </c>
      <c r="H618">
        <v>0.12</v>
      </c>
      <c r="I618" t="s">
        <v>15</v>
      </c>
      <c r="J618">
        <v>11</v>
      </c>
      <c r="K618">
        <v>2.2999999999999998</v>
      </c>
      <c r="L618">
        <v>676.23</v>
      </c>
    </row>
    <row r="619" spans="1:12">
      <c r="A619">
        <v>10618</v>
      </c>
      <c r="B619" t="s">
        <v>653</v>
      </c>
      <c r="C619">
        <v>1512</v>
      </c>
      <c r="D619" t="s">
        <v>27</v>
      </c>
      <c r="E619" t="s">
        <v>14</v>
      </c>
      <c r="F619">
        <v>2</v>
      </c>
      <c r="G619">
        <v>284.49</v>
      </c>
      <c r="H619">
        <v>0.25</v>
      </c>
      <c r="I619" t="s">
        <v>28</v>
      </c>
      <c r="J619">
        <v>1</v>
      </c>
      <c r="K619">
        <v>1.5</v>
      </c>
      <c r="L619">
        <v>426.74</v>
      </c>
    </row>
    <row r="620" spans="1:12">
      <c r="A620">
        <v>10619</v>
      </c>
      <c r="B620" t="s">
        <v>654</v>
      </c>
      <c r="C620">
        <v>1750</v>
      </c>
      <c r="D620" t="s">
        <v>27</v>
      </c>
      <c r="E620" t="s">
        <v>32</v>
      </c>
      <c r="F620">
        <v>6</v>
      </c>
      <c r="G620">
        <v>162.28</v>
      </c>
      <c r="H620">
        <v>0.18</v>
      </c>
      <c r="I620" t="s">
        <v>28</v>
      </c>
      <c r="J620">
        <v>10</v>
      </c>
      <c r="K620">
        <v>3.7</v>
      </c>
      <c r="L620">
        <v>798.42</v>
      </c>
    </row>
    <row r="621" spans="1:12">
      <c r="A621">
        <v>10620</v>
      </c>
      <c r="B621" t="s">
        <v>655</v>
      </c>
      <c r="C621">
        <v>1801</v>
      </c>
      <c r="D621" t="s">
        <v>55</v>
      </c>
      <c r="E621" t="s">
        <v>43</v>
      </c>
      <c r="F621">
        <v>5</v>
      </c>
      <c r="G621">
        <v>234.29</v>
      </c>
      <c r="H621">
        <v>0.06</v>
      </c>
      <c r="I621" t="s">
        <v>28</v>
      </c>
      <c r="J621">
        <v>9</v>
      </c>
      <c r="K621">
        <v>1</v>
      </c>
      <c r="L621">
        <v>1101.1600000000001</v>
      </c>
    </row>
    <row r="622" spans="1:12">
      <c r="A622">
        <v>10621</v>
      </c>
      <c r="B622" t="s">
        <v>656</v>
      </c>
      <c r="C622">
        <v>1095</v>
      </c>
      <c r="D622" t="s">
        <v>55</v>
      </c>
      <c r="E622" t="s">
        <v>32</v>
      </c>
      <c r="F622">
        <v>1</v>
      </c>
      <c r="G622">
        <v>482.97</v>
      </c>
      <c r="H622">
        <v>0.31</v>
      </c>
      <c r="I622" t="s">
        <v>15</v>
      </c>
      <c r="J622">
        <v>4</v>
      </c>
      <c r="K622">
        <v>2.2999999999999998</v>
      </c>
      <c r="L622">
        <v>333.25</v>
      </c>
    </row>
    <row r="623" spans="1:12">
      <c r="A623">
        <v>10622</v>
      </c>
      <c r="B623" t="s">
        <v>657</v>
      </c>
      <c r="C623">
        <v>1637</v>
      </c>
      <c r="D623" t="s">
        <v>34</v>
      </c>
      <c r="E623" t="s">
        <v>14</v>
      </c>
      <c r="F623">
        <v>6</v>
      </c>
      <c r="G623">
        <v>503.04</v>
      </c>
      <c r="H623">
        <v>0.1</v>
      </c>
      <c r="I623" t="s">
        <v>28</v>
      </c>
      <c r="J623">
        <v>3</v>
      </c>
      <c r="K623">
        <v>1.9</v>
      </c>
      <c r="L623">
        <v>2716.42</v>
      </c>
    </row>
    <row r="624" spans="1:12">
      <c r="A624">
        <v>10623</v>
      </c>
      <c r="B624" t="s">
        <v>658</v>
      </c>
      <c r="C624">
        <v>1117</v>
      </c>
      <c r="D624" t="s">
        <v>13</v>
      </c>
      <c r="E624" t="s">
        <v>14</v>
      </c>
      <c r="F624">
        <v>6</v>
      </c>
      <c r="G624">
        <v>192.95</v>
      </c>
      <c r="H624">
        <v>0.26</v>
      </c>
      <c r="I624" t="s">
        <v>31</v>
      </c>
      <c r="J624">
        <v>3</v>
      </c>
      <c r="K624">
        <v>2.6</v>
      </c>
      <c r="L624">
        <v>856.7</v>
      </c>
    </row>
    <row r="625" spans="1:12">
      <c r="A625">
        <v>10624</v>
      </c>
      <c r="B625" t="s">
        <v>659</v>
      </c>
      <c r="C625">
        <v>1559</v>
      </c>
      <c r="D625" t="s">
        <v>13</v>
      </c>
      <c r="E625" t="s">
        <v>14</v>
      </c>
      <c r="F625">
        <v>5</v>
      </c>
      <c r="G625">
        <v>289.37</v>
      </c>
      <c r="H625">
        <v>0.27</v>
      </c>
      <c r="I625" t="s">
        <v>15</v>
      </c>
      <c r="J625">
        <v>9</v>
      </c>
      <c r="K625">
        <v>2.2000000000000002</v>
      </c>
      <c r="L625">
        <v>1056.2</v>
      </c>
    </row>
    <row r="626" spans="1:12">
      <c r="A626">
        <v>10625</v>
      </c>
      <c r="B626" t="s">
        <v>660</v>
      </c>
      <c r="C626">
        <v>1600</v>
      </c>
      <c r="D626" t="s">
        <v>34</v>
      </c>
      <c r="E626" t="s">
        <v>30</v>
      </c>
      <c r="F626">
        <v>4</v>
      </c>
      <c r="G626">
        <v>526.17999999999995</v>
      </c>
      <c r="H626">
        <v>0.34</v>
      </c>
      <c r="I626" t="s">
        <v>31</v>
      </c>
      <c r="J626">
        <v>8</v>
      </c>
      <c r="K626">
        <v>3.8</v>
      </c>
      <c r="L626">
        <v>1389.12</v>
      </c>
    </row>
    <row r="627" spans="1:12">
      <c r="A627">
        <v>10626</v>
      </c>
      <c r="B627" t="s">
        <v>661</v>
      </c>
      <c r="C627">
        <v>1487</v>
      </c>
      <c r="D627" t="s">
        <v>27</v>
      </c>
      <c r="E627" t="s">
        <v>14</v>
      </c>
      <c r="F627">
        <v>3</v>
      </c>
      <c r="G627">
        <v>45.81</v>
      </c>
      <c r="H627">
        <v>0.17</v>
      </c>
      <c r="I627" t="s">
        <v>28</v>
      </c>
      <c r="J627">
        <v>10</v>
      </c>
      <c r="K627">
        <v>2</v>
      </c>
      <c r="L627">
        <v>114.07</v>
      </c>
    </row>
    <row r="628" spans="1:12">
      <c r="A628">
        <v>10627</v>
      </c>
      <c r="B628" t="s">
        <v>662</v>
      </c>
      <c r="C628">
        <v>1236</v>
      </c>
      <c r="D628" t="s">
        <v>27</v>
      </c>
      <c r="E628" t="s">
        <v>43</v>
      </c>
      <c r="F628">
        <v>3</v>
      </c>
      <c r="G628">
        <v>535.15</v>
      </c>
      <c r="H628">
        <v>0.22</v>
      </c>
      <c r="I628" t="s">
        <v>15</v>
      </c>
      <c r="J628">
        <v>7</v>
      </c>
      <c r="K628">
        <v>3.2</v>
      </c>
      <c r="L628">
        <v>1252.25</v>
      </c>
    </row>
    <row r="629" spans="1:12">
      <c r="A629">
        <v>10628</v>
      </c>
      <c r="B629" t="s">
        <v>663</v>
      </c>
      <c r="C629">
        <v>1884</v>
      </c>
      <c r="D629" t="s">
        <v>13</v>
      </c>
      <c r="E629" t="s">
        <v>32</v>
      </c>
      <c r="F629">
        <v>7</v>
      </c>
      <c r="G629">
        <v>143.22</v>
      </c>
      <c r="H629">
        <v>0.12</v>
      </c>
      <c r="I629" t="s">
        <v>15</v>
      </c>
      <c r="J629">
        <v>7</v>
      </c>
      <c r="K629">
        <v>2.8</v>
      </c>
      <c r="L629">
        <v>882.24</v>
      </c>
    </row>
    <row r="630" spans="1:12">
      <c r="A630">
        <v>10629</v>
      </c>
      <c r="B630" t="s">
        <v>664</v>
      </c>
      <c r="C630">
        <v>1896</v>
      </c>
      <c r="D630" t="s">
        <v>13</v>
      </c>
      <c r="E630" t="s">
        <v>32</v>
      </c>
      <c r="F630">
        <v>2</v>
      </c>
      <c r="G630">
        <v>411.95</v>
      </c>
      <c r="H630">
        <v>0.24</v>
      </c>
      <c r="I630" t="s">
        <v>28</v>
      </c>
      <c r="J630">
        <v>4</v>
      </c>
      <c r="K630">
        <v>4.2</v>
      </c>
      <c r="L630">
        <v>626.16</v>
      </c>
    </row>
    <row r="631" spans="1:12">
      <c r="A631">
        <v>10630</v>
      </c>
      <c r="B631" t="s">
        <v>665</v>
      </c>
      <c r="C631">
        <v>1271</v>
      </c>
      <c r="D631" t="s">
        <v>34</v>
      </c>
      <c r="E631" t="s">
        <v>30</v>
      </c>
      <c r="F631">
        <v>4</v>
      </c>
      <c r="G631">
        <v>355.79</v>
      </c>
      <c r="H631">
        <v>0.16</v>
      </c>
      <c r="I631" t="s">
        <v>31</v>
      </c>
      <c r="J631">
        <v>3</v>
      </c>
      <c r="K631">
        <v>2.7</v>
      </c>
      <c r="L631">
        <v>1195.45</v>
      </c>
    </row>
    <row r="632" spans="1:12">
      <c r="A632">
        <v>10631</v>
      </c>
      <c r="B632" t="s">
        <v>666</v>
      </c>
      <c r="C632">
        <v>1188</v>
      </c>
      <c r="D632" t="s">
        <v>27</v>
      </c>
      <c r="E632" t="s">
        <v>30</v>
      </c>
      <c r="F632">
        <v>5</v>
      </c>
      <c r="G632">
        <v>338.47</v>
      </c>
      <c r="H632">
        <v>0.15</v>
      </c>
      <c r="I632" t="s">
        <v>15</v>
      </c>
      <c r="J632">
        <v>4</v>
      </c>
      <c r="K632">
        <v>4.5</v>
      </c>
      <c r="L632">
        <v>1438.5</v>
      </c>
    </row>
    <row r="633" spans="1:12">
      <c r="A633">
        <v>10632</v>
      </c>
      <c r="B633" t="s">
        <v>667</v>
      </c>
      <c r="C633">
        <v>1998</v>
      </c>
      <c r="D633" t="s">
        <v>27</v>
      </c>
      <c r="E633" t="s">
        <v>43</v>
      </c>
      <c r="F633">
        <v>4</v>
      </c>
      <c r="G633">
        <v>517.73</v>
      </c>
      <c r="H633">
        <v>0.3</v>
      </c>
      <c r="I633" t="s">
        <v>15</v>
      </c>
      <c r="J633">
        <v>6</v>
      </c>
      <c r="K633">
        <v>1</v>
      </c>
      <c r="L633">
        <v>1449.64</v>
      </c>
    </row>
    <row r="634" spans="1:12">
      <c r="A634">
        <v>10633</v>
      </c>
      <c r="B634" t="s">
        <v>668</v>
      </c>
      <c r="C634">
        <v>1703</v>
      </c>
      <c r="D634" t="s">
        <v>27</v>
      </c>
      <c r="E634" t="s">
        <v>14</v>
      </c>
      <c r="F634">
        <v>4</v>
      </c>
      <c r="G634">
        <v>74.42</v>
      </c>
      <c r="H634">
        <v>0.02</v>
      </c>
      <c r="I634" t="s">
        <v>28</v>
      </c>
      <c r="J634">
        <v>4</v>
      </c>
      <c r="K634">
        <v>3.4</v>
      </c>
      <c r="L634">
        <v>291.73</v>
      </c>
    </row>
    <row r="635" spans="1:12">
      <c r="A635">
        <v>10634</v>
      </c>
      <c r="B635" t="s">
        <v>669</v>
      </c>
      <c r="C635">
        <v>1446</v>
      </c>
      <c r="D635" t="s">
        <v>34</v>
      </c>
      <c r="E635" t="s">
        <v>30</v>
      </c>
      <c r="F635">
        <v>3</v>
      </c>
      <c r="G635">
        <v>218.01</v>
      </c>
      <c r="H635">
        <v>0.31</v>
      </c>
      <c r="I635" t="s">
        <v>15</v>
      </c>
      <c r="J635">
        <v>4</v>
      </c>
      <c r="K635">
        <v>1</v>
      </c>
      <c r="L635">
        <v>451.28</v>
      </c>
    </row>
    <row r="636" spans="1:12">
      <c r="A636">
        <v>10635</v>
      </c>
      <c r="B636" t="s">
        <v>670</v>
      </c>
      <c r="C636">
        <v>1580</v>
      </c>
      <c r="D636" t="s">
        <v>13</v>
      </c>
      <c r="E636" t="s">
        <v>32</v>
      </c>
      <c r="F636">
        <v>5</v>
      </c>
      <c r="G636">
        <v>329.88</v>
      </c>
      <c r="H636">
        <v>0.3</v>
      </c>
      <c r="I636" t="s">
        <v>28</v>
      </c>
      <c r="J636">
        <v>2</v>
      </c>
      <c r="K636">
        <v>3.9</v>
      </c>
      <c r="L636">
        <v>1154.58</v>
      </c>
    </row>
    <row r="637" spans="1:12">
      <c r="A637">
        <v>10636</v>
      </c>
      <c r="B637" t="s">
        <v>671</v>
      </c>
      <c r="C637">
        <v>1789</v>
      </c>
      <c r="D637" t="s">
        <v>55</v>
      </c>
      <c r="E637" t="s">
        <v>30</v>
      </c>
      <c r="F637">
        <v>1</v>
      </c>
      <c r="G637">
        <v>489.6</v>
      </c>
      <c r="H637">
        <v>0.18</v>
      </c>
      <c r="I637" t="s">
        <v>28</v>
      </c>
      <c r="J637">
        <v>7</v>
      </c>
      <c r="K637">
        <v>1.9</v>
      </c>
      <c r="L637">
        <v>401.47</v>
      </c>
    </row>
    <row r="638" spans="1:12">
      <c r="A638">
        <v>10637</v>
      </c>
      <c r="B638" t="s">
        <v>672</v>
      </c>
      <c r="C638">
        <v>1860</v>
      </c>
      <c r="D638" t="s">
        <v>55</v>
      </c>
      <c r="E638" t="s">
        <v>30</v>
      </c>
      <c r="F638">
        <v>6</v>
      </c>
      <c r="G638">
        <v>141.62</v>
      </c>
      <c r="H638">
        <v>0.17</v>
      </c>
      <c r="I638" t="s">
        <v>28</v>
      </c>
      <c r="J638">
        <v>6</v>
      </c>
      <c r="K638">
        <v>2.5</v>
      </c>
      <c r="L638">
        <v>705.27</v>
      </c>
    </row>
    <row r="639" spans="1:12">
      <c r="A639">
        <v>10638</v>
      </c>
      <c r="B639" t="s">
        <v>673</v>
      </c>
      <c r="C639">
        <v>1246</v>
      </c>
      <c r="D639" t="s">
        <v>13</v>
      </c>
      <c r="E639" t="s">
        <v>14</v>
      </c>
      <c r="F639">
        <v>3</v>
      </c>
      <c r="G639">
        <v>484.71</v>
      </c>
      <c r="H639">
        <v>0.13</v>
      </c>
      <c r="I639" t="s">
        <v>28</v>
      </c>
      <c r="J639">
        <v>2</v>
      </c>
      <c r="K639">
        <v>2.5</v>
      </c>
      <c r="L639">
        <v>1265.0899999999999</v>
      </c>
    </row>
    <row r="640" spans="1:12">
      <c r="A640">
        <v>10639</v>
      </c>
      <c r="B640" t="s">
        <v>674</v>
      </c>
      <c r="C640">
        <v>1962</v>
      </c>
      <c r="D640" t="s">
        <v>55</v>
      </c>
      <c r="E640" t="s">
        <v>30</v>
      </c>
      <c r="F640">
        <v>5</v>
      </c>
      <c r="G640">
        <v>248.79</v>
      </c>
      <c r="H640">
        <v>0.35</v>
      </c>
      <c r="I640" t="s">
        <v>31</v>
      </c>
      <c r="J640">
        <v>5</v>
      </c>
      <c r="K640">
        <v>4.4000000000000004</v>
      </c>
      <c r="L640">
        <v>808.57</v>
      </c>
    </row>
    <row r="641" spans="1:12">
      <c r="A641">
        <v>10640</v>
      </c>
      <c r="B641" t="s">
        <v>675</v>
      </c>
      <c r="C641">
        <v>1075</v>
      </c>
      <c r="D641" t="s">
        <v>27</v>
      </c>
      <c r="E641" t="s">
        <v>43</v>
      </c>
      <c r="F641">
        <v>2</v>
      </c>
      <c r="G641">
        <v>125.51</v>
      </c>
      <c r="H641">
        <v>0.04</v>
      </c>
      <c r="I641" t="s">
        <v>31</v>
      </c>
      <c r="J641">
        <v>6</v>
      </c>
      <c r="K641">
        <v>1.4</v>
      </c>
      <c r="L641">
        <v>240.98</v>
      </c>
    </row>
    <row r="642" spans="1:12">
      <c r="A642">
        <v>10641</v>
      </c>
      <c r="B642" t="s">
        <v>676</v>
      </c>
      <c r="C642">
        <v>1153</v>
      </c>
      <c r="D642" t="s">
        <v>27</v>
      </c>
      <c r="E642" t="s">
        <v>32</v>
      </c>
      <c r="F642">
        <v>6</v>
      </c>
      <c r="G642">
        <v>459.01</v>
      </c>
      <c r="H642">
        <v>0.21</v>
      </c>
      <c r="I642" t="s">
        <v>28</v>
      </c>
      <c r="J642">
        <v>5</v>
      </c>
      <c r="K642">
        <v>3.7</v>
      </c>
      <c r="L642">
        <v>2175.71</v>
      </c>
    </row>
    <row r="643" spans="1:12">
      <c r="A643">
        <v>10642</v>
      </c>
      <c r="B643" t="s">
        <v>677</v>
      </c>
      <c r="C643">
        <v>1655</v>
      </c>
      <c r="D643" t="s">
        <v>34</v>
      </c>
      <c r="E643" t="s">
        <v>14</v>
      </c>
      <c r="F643">
        <v>6</v>
      </c>
      <c r="G643">
        <v>68.180000000000007</v>
      </c>
      <c r="H643">
        <v>0.24</v>
      </c>
      <c r="I643" t="s">
        <v>28</v>
      </c>
      <c r="J643">
        <v>4</v>
      </c>
      <c r="K643">
        <v>4.9000000000000004</v>
      </c>
      <c r="L643">
        <v>310.89999999999998</v>
      </c>
    </row>
    <row r="644" spans="1:12">
      <c r="A644">
        <v>10643</v>
      </c>
      <c r="B644" t="s">
        <v>678</v>
      </c>
      <c r="C644">
        <v>1434</v>
      </c>
      <c r="D644" t="s">
        <v>55</v>
      </c>
      <c r="E644" t="s">
        <v>32</v>
      </c>
      <c r="F644">
        <v>3</v>
      </c>
      <c r="G644">
        <v>316.14</v>
      </c>
      <c r="H644">
        <v>0.33</v>
      </c>
      <c r="I644" t="s">
        <v>28</v>
      </c>
      <c r="J644">
        <v>11</v>
      </c>
      <c r="K644">
        <v>1.1000000000000001</v>
      </c>
      <c r="L644">
        <v>635.44000000000005</v>
      </c>
    </row>
    <row r="645" spans="1:12">
      <c r="A645">
        <v>10644</v>
      </c>
      <c r="B645" t="s">
        <v>679</v>
      </c>
      <c r="C645">
        <v>1996</v>
      </c>
      <c r="D645" t="s">
        <v>34</v>
      </c>
      <c r="E645" t="s">
        <v>43</v>
      </c>
      <c r="F645">
        <v>7</v>
      </c>
      <c r="G645">
        <v>52.37</v>
      </c>
      <c r="H645">
        <v>0.27</v>
      </c>
      <c r="I645" t="s">
        <v>15</v>
      </c>
      <c r="J645">
        <v>11</v>
      </c>
      <c r="K645">
        <v>4.9000000000000004</v>
      </c>
      <c r="L645">
        <v>267.61</v>
      </c>
    </row>
    <row r="646" spans="1:12">
      <c r="A646">
        <v>10645</v>
      </c>
      <c r="B646" t="s">
        <v>680</v>
      </c>
      <c r="C646">
        <v>1085</v>
      </c>
      <c r="D646" t="s">
        <v>55</v>
      </c>
      <c r="E646" t="s">
        <v>43</v>
      </c>
      <c r="F646">
        <v>2</v>
      </c>
      <c r="G646">
        <v>223.5</v>
      </c>
      <c r="H646">
        <v>0.23</v>
      </c>
      <c r="I646" t="s">
        <v>15</v>
      </c>
      <c r="J646">
        <v>9</v>
      </c>
      <c r="K646">
        <v>1.1000000000000001</v>
      </c>
      <c r="L646">
        <v>344.19</v>
      </c>
    </row>
    <row r="647" spans="1:12">
      <c r="A647">
        <v>10646</v>
      </c>
      <c r="B647" t="s">
        <v>681</v>
      </c>
      <c r="C647">
        <v>1696</v>
      </c>
      <c r="D647" t="s">
        <v>34</v>
      </c>
      <c r="E647" t="s">
        <v>30</v>
      </c>
      <c r="F647">
        <v>3</v>
      </c>
      <c r="G647">
        <v>366.63</v>
      </c>
      <c r="H647">
        <v>0.04</v>
      </c>
      <c r="I647" t="s">
        <v>28</v>
      </c>
      <c r="J647">
        <v>3</v>
      </c>
      <c r="K647">
        <v>4.4000000000000004</v>
      </c>
      <c r="L647">
        <v>1055.8900000000001</v>
      </c>
    </row>
    <row r="648" spans="1:12">
      <c r="A648">
        <v>10647</v>
      </c>
      <c r="B648" t="s">
        <v>682</v>
      </c>
      <c r="C648">
        <v>1284</v>
      </c>
      <c r="D648" t="s">
        <v>34</v>
      </c>
      <c r="E648" t="s">
        <v>30</v>
      </c>
      <c r="F648">
        <v>4</v>
      </c>
      <c r="G648">
        <v>340.33</v>
      </c>
      <c r="H648">
        <v>0.13</v>
      </c>
      <c r="I648" t="s">
        <v>15</v>
      </c>
      <c r="J648">
        <v>11</v>
      </c>
      <c r="K648">
        <v>4.8</v>
      </c>
      <c r="L648">
        <v>1184.3499999999999</v>
      </c>
    </row>
    <row r="649" spans="1:12">
      <c r="A649">
        <v>10648</v>
      </c>
      <c r="B649" t="s">
        <v>683</v>
      </c>
      <c r="C649">
        <v>1973</v>
      </c>
      <c r="D649" t="s">
        <v>34</v>
      </c>
      <c r="E649" t="s">
        <v>30</v>
      </c>
      <c r="F649">
        <v>7</v>
      </c>
      <c r="G649">
        <v>251.72</v>
      </c>
      <c r="H649">
        <v>0.05</v>
      </c>
      <c r="I649" t="s">
        <v>28</v>
      </c>
      <c r="J649">
        <v>2</v>
      </c>
      <c r="K649">
        <v>5</v>
      </c>
      <c r="L649">
        <v>1673.94</v>
      </c>
    </row>
    <row r="650" spans="1:12">
      <c r="A650">
        <v>10649</v>
      </c>
      <c r="B650" t="s">
        <v>684</v>
      </c>
      <c r="C650">
        <v>1219</v>
      </c>
      <c r="D650" t="s">
        <v>34</v>
      </c>
      <c r="E650" t="s">
        <v>32</v>
      </c>
      <c r="F650">
        <v>5</v>
      </c>
      <c r="G650">
        <v>265.99</v>
      </c>
      <c r="H650">
        <v>0.31</v>
      </c>
      <c r="I650" t="s">
        <v>31</v>
      </c>
      <c r="J650">
        <v>9</v>
      </c>
      <c r="K650">
        <v>2.8</v>
      </c>
      <c r="L650">
        <v>917.67</v>
      </c>
    </row>
    <row r="651" spans="1:12">
      <c r="A651">
        <v>10650</v>
      </c>
      <c r="B651" t="s">
        <v>685</v>
      </c>
      <c r="C651">
        <v>1068</v>
      </c>
      <c r="D651" t="s">
        <v>55</v>
      </c>
      <c r="E651" t="s">
        <v>43</v>
      </c>
      <c r="F651">
        <v>2</v>
      </c>
      <c r="G651">
        <v>147.66</v>
      </c>
      <c r="H651">
        <v>0.26</v>
      </c>
      <c r="I651" t="s">
        <v>15</v>
      </c>
      <c r="J651">
        <v>8</v>
      </c>
      <c r="K651">
        <v>4.5</v>
      </c>
      <c r="L651">
        <v>218.54</v>
      </c>
    </row>
    <row r="652" spans="1:12">
      <c r="A652">
        <v>10651</v>
      </c>
      <c r="B652" t="s">
        <v>686</v>
      </c>
      <c r="C652">
        <v>1046</v>
      </c>
      <c r="D652" t="s">
        <v>55</v>
      </c>
      <c r="E652" t="s">
        <v>14</v>
      </c>
      <c r="F652">
        <v>6</v>
      </c>
      <c r="G652">
        <v>281.69</v>
      </c>
      <c r="H652">
        <v>0.27</v>
      </c>
      <c r="I652" t="s">
        <v>28</v>
      </c>
      <c r="J652">
        <v>9</v>
      </c>
      <c r="K652">
        <v>1.5</v>
      </c>
      <c r="L652">
        <v>1233.8</v>
      </c>
    </row>
    <row r="653" spans="1:12">
      <c r="A653">
        <v>10652</v>
      </c>
      <c r="B653" t="s">
        <v>687</v>
      </c>
      <c r="C653">
        <v>1093</v>
      </c>
      <c r="D653" t="s">
        <v>27</v>
      </c>
      <c r="E653" t="s">
        <v>30</v>
      </c>
      <c r="F653">
        <v>3</v>
      </c>
      <c r="G653">
        <v>572.65</v>
      </c>
      <c r="H653">
        <v>0.23</v>
      </c>
      <c r="I653" t="s">
        <v>31</v>
      </c>
      <c r="J653">
        <v>10</v>
      </c>
      <c r="K653">
        <v>2.7</v>
      </c>
      <c r="L653">
        <v>1322.82</v>
      </c>
    </row>
    <row r="654" spans="1:12">
      <c r="A654">
        <v>10653</v>
      </c>
      <c r="B654" t="s">
        <v>688</v>
      </c>
      <c r="C654">
        <v>1749</v>
      </c>
      <c r="D654" t="s">
        <v>34</v>
      </c>
      <c r="E654" t="s">
        <v>32</v>
      </c>
      <c r="F654">
        <v>6</v>
      </c>
      <c r="G654">
        <v>512.51</v>
      </c>
      <c r="H654">
        <v>0.18</v>
      </c>
      <c r="I654" t="s">
        <v>28</v>
      </c>
      <c r="J654">
        <v>11</v>
      </c>
      <c r="K654">
        <v>2.2000000000000002</v>
      </c>
      <c r="L654">
        <v>2521.5500000000002</v>
      </c>
    </row>
    <row r="655" spans="1:12">
      <c r="A655">
        <v>10654</v>
      </c>
      <c r="B655" t="s">
        <v>689</v>
      </c>
      <c r="C655">
        <v>1957</v>
      </c>
      <c r="D655" t="s">
        <v>34</v>
      </c>
      <c r="E655" t="s">
        <v>30</v>
      </c>
      <c r="F655">
        <v>2</v>
      </c>
      <c r="G655">
        <v>99.96</v>
      </c>
      <c r="H655">
        <v>0.05</v>
      </c>
      <c r="I655" t="s">
        <v>28</v>
      </c>
      <c r="J655">
        <v>3</v>
      </c>
      <c r="K655">
        <v>2.6</v>
      </c>
      <c r="L655">
        <v>189.92</v>
      </c>
    </row>
    <row r="656" spans="1:12">
      <c r="A656">
        <v>10655</v>
      </c>
      <c r="B656" t="s">
        <v>690</v>
      </c>
      <c r="C656">
        <v>1452</v>
      </c>
      <c r="D656" t="s">
        <v>34</v>
      </c>
      <c r="E656" t="s">
        <v>43</v>
      </c>
      <c r="F656">
        <v>6</v>
      </c>
      <c r="G656">
        <v>32.42</v>
      </c>
      <c r="H656">
        <v>0.12</v>
      </c>
      <c r="I656" t="s">
        <v>31</v>
      </c>
      <c r="J656">
        <v>1</v>
      </c>
      <c r="K656">
        <v>3.8</v>
      </c>
      <c r="L656">
        <v>171.18</v>
      </c>
    </row>
    <row r="657" spans="1:12">
      <c r="A657">
        <v>10656</v>
      </c>
      <c r="B657" t="s">
        <v>691</v>
      </c>
      <c r="C657">
        <v>1203</v>
      </c>
      <c r="D657" t="s">
        <v>34</v>
      </c>
      <c r="E657" t="s">
        <v>14</v>
      </c>
      <c r="F657">
        <v>3</v>
      </c>
      <c r="G657">
        <v>561.11</v>
      </c>
      <c r="H657">
        <v>0.05</v>
      </c>
      <c r="I657" t="s">
        <v>15</v>
      </c>
      <c r="J657">
        <v>11</v>
      </c>
      <c r="K657">
        <v>1.3</v>
      </c>
      <c r="L657">
        <v>1599.16</v>
      </c>
    </row>
    <row r="658" spans="1:12">
      <c r="A658">
        <v>10657</v>
      </c>
      <c r="B658" t="s">
        <v>692</v>
      </c>
      <c r="C658">
        <v>1911</v>
      </c>
      <c r="D658" t="s">
        <v>13</v>
      </c>
      <c r="E658" t="s">
        <v>43</v>
      </c>
      <c r="F658">
        <v>7</v>
      </c>
      <c r="G658">
        <v>323.14999999999998</v>
      </c>
      <c r="H658">
        <v>0.25</v>
      </c>
      <c r="I658" t="s">
        <v>31</v>
      </c>
      <c r="J658">
        <v>1</v>
      </c>
      <c r="K658">
        <v>5</v>
      </c>
      <c r="L658">
        <v>1696.54</v>
      </c>
    </row>
    <row r="659" spans="1:12">
      <c r="A659">
        <v>10658</v>
      </c>
      <c r="B659" t="s">
        <v>693</v>
      </c>
      <c r="C659">
        <v>1217</v>
      </c>
      <c r="D659" t="s">
        <v>34</v>
      </c>
      <c r="E659" t="s">
        <v>32</v>
      </c>
      <c r="F659">
        <v>3</v>
      </c>
      <c r="G659">
        <v>329.64</v>
      </c>
      <c r="H659">
        <v>0.06</v>
      </c>
      <c r="I659" t="s">
        <v>15</v>
      </c>
      <c r="J659">
        <v>3</v>
      </c>
      <c r="K659">
        <v>3.5</v>
      </c>
      <c r="L659">
        <v>929.58</v>
      </c>
    </row>
    <row r="660" spans="1:12">
      <c r="A660">
        <v>10659</v>
      </c>
      <c r="B660" t="s">
        <v>694</v>
      </c>
      <c r="C660">
        <v>1473</v>
      </c>
      <c r="D660" t="s">
        <v>27</v>
      </c>
      <c r="E660" t="s">
        <v>30</v>
      </c>
      <c r="F660">
        <v>1</v>
      </c>
      <c r="G660">
        <v>471.72</v>
      </c>
      <c r="H660">
        <v>0.25</v>
      </c>
      <c r="I660" t="s">
        <v>15</v>
      </c>
      <c r="J660">
        <v>4</v>
      </c>
      <c r="K660">
        <v>4.5</v>
      </c>
      <c r="L660">
        <v>353.79</v>
      </c>
    </row>
    <row r="661" spans="1:12">
      <c r="A661">
        <v>10660</v>
      </c>
      <c r="B661" t="s">
        <v>695</v>
      </c>
      <c r="C661">
        <v>1431</v>
      </c>
      <c r="D661" t="s">
        <v>34</v>
      </c>
      <c r="E661" t="s">
        <v>43</v>
      </c>
      <c r="F661">
        <v>6</v>
      </c>
      <c r="G661">
        <v>199.09</v>
      </c>
      <c r="H661">
        <v>0.24</v>
      </c>
      <c r="I661" t="s">
        <v>28</v>
      </c>
      <c r="J661">
        <v>2</v>
      </c>
      <c r="K661">
        <v>4.3</v>
      </c>
      <c r="L661">
        <v>907.85</v>
      </c>
    </row>
    <row r="662" spans="1:12">
      <c r="A662">
        <v>10661</v>
      </c>
      <c r="B662" t="s">
        <v>696</v>
      </c>
      <c r="C662">
        <v>1340</v>
      </c>
      <c r="D662" t="s">
        <v>34</v>
      </c>
      <c r="E662" t="s">
        <v>32</v>
      </c>
      <c r="F662">
        <v>1</v>
      </c>
      <c r="G662">
        <v>296.92</v>
      </c>
      <c r="H662">
        <v>0.16</v>
      </c>
      <c r="I662" t="s">
        <v>28</v>
      </c>
      <c r="J662">
        <v>8</v>
      </c>
      <c r="K662">
        <v>4.0999999999999996</v>
      </c>
      <c r="L662">
        <v>249.41</v>
      </c>
    </row>
    <row r="663" spans="1:12">
      <c r="A663">
        <v>10662</v>
      </c>
      <c r="B663" t="s">
        <v>697</v>
      </c>
      <c r="C663">
        <v>1550</v>
      </c>
      <c r="D663" t="s">
        <v>27</v>
      </c>
      <c r="E663" t="s">
        <v>30</v>
      </c>
      <c r="F663">
        <v>7</v>
      </c>
      <c r="G663">
        <v>581.66999999999996</v>
      </c>
      <c r="H663">
        <v>0.05</v>
      </c>
      <c r="I663" t="s">
        <v>31</v>
      </c>
      <c r="J663">
        <v>3</v>
      </c>
      <c r="K663">
        <v>1.2</v>
      </c>
      <c r="L663">
        <v>3868.11</v>
      </c>
    </row>
    <row r="664" spans="1:12">
      <c r="A664">
        <v>10663</v>
      </c>
      <c r="B664" t="s">
        <v>698</v>
      </c>
      <c r="C664">
        <v>1611</v>
      </c>
      <c r="D664" t="s">
        <v>27</v>
      </c>
      <c r="E664" t="s">
        <v>14</v>
      </c>
      <c r="F664">
        <v>1</v>
      </c>
      <c r="G664">
        <v>408.21</v>
      </c>
      <c r="H664">
        <v>0.11</v>
      </c>
      <c r="I664" t="s">
        <v>31</v>
      </c>
      <c r="J664">
        <v>4</v>
      </c>
      <c r="K664">
        <v>3.1</v>
      </c>
      <c r="L664">
        <v>363.31</v>
      </c>
    </row>
    <row r="665" spans="1:12">
      <c r="A665">
        <v>10664</v>
      </c>
      <c r="B665" t="s">
        <v>699</v>
      </c>
      <c r="C665">
        <v>1288</v>
      </c>
      <c r="D665" t="s">
        <v>34</v>
      </c>
      <c r="E665" t="s">
        <v>43</v>
      </c>
      <c r="F665">
        <v>6</v>
      </c>
      <c r="G665">
        <v>104.94</v>
      </c>
      <c r="H665">
        <v>0.11</v>
      </c>
      <c r="I665" t="s">
        <v>28</v>
      </c>
      <c r="J665">
        <v>6</v>
      </c>
      <c r="K665">
        <v>2.2999999999999998</v>
      </c>
      <c r="L665">
        <v>560.38</v>
      </c>
    </row>
    <row r="666" spans="1:12">
      <c r="A666">
        <v>10665</v>
      </c>
      <c r="B666" t="s">
        <v>700</v>
      </c>
      <c r="C666">
        <v>1253</v>
      </c>
      <c r="D666" t="s">
        <v>34</v>
      </c>
      <c r="E666" t="s">
        <v>30</v>
      </c>
      <c r="F666">
        <v>2</v>
      </c>
      <c r="G666">
        <v>92.94</v>
      </c>
      <c r="H666">
        <v>0.25</v>
      </c>
      <c r="I666" t="s">
        <v>15</v>
      </c>
      <c r="J666">
        <v>10</v>
      </c>
      <c r="K666">
        <v>1.5</v>
      </c>
      <c r="L666">
        <v>139.41</v>
      </c>
    </row>
    <row r="667" spans="1:12">
      <c r="A667">
        <v>10666</v>
      </c>
      <c r="B667" t="s">
        <v>701</v>
      </c>
      <c r="C667">
        <v>1733</v>
      </c>
      <c r="D667" t="s">
        <v>27</v>
      </c>
      <c r="E667" t="s">
        <v>30</v>
      </c>
      <c r="F667">
        <v>4</v>
      </c>
      <c r="G667">
        <v>134.49</v>
      </c>
      <c r="H667">
        <v>0.04</v>
      </c>
      <c r="I667" t="s">
        <v>31</v>
      </c>
      <c r="J667">
        <v>6</v>
      </c>
      <c r="K667">
        <v>2.4</v>
      </c>
      <c r="L667">
        <v>516.44000000000005</v>
      </c>
    </row>
    <row r="668" spans="1:12">
      <c r="A668">
        <v>10667</v>
      </c>
      <c r="B668" t="s">
        <v>702</v>
      </c>
      <c r="C668">
        <v>1356</v>
      </c>
      <c r="D668" t="s">
        <v>34</v>
      </c>
      <c r="E668" t="s">
        <v>30</v>
      </c>
      <c r="F668">
        <v>7</v>
      </c>
      <c r="G668">
        <v>463.53</v>
      </c>
      <c r="H668">
        <v>0.28999999999999998</v>
      </c>
      <c r="I668" t="s">
        <v>28</v>
      </c>
      <c r="J668">
        <v>2</v>
      </c>
      <c r="K668">
        <v>3.6</v>
      </c>
      <c r="L668">
        <v>2303.7399999999998</v>
      </c>
    </row>
    <row r="669" spans="1:12">
      <c r="A669">
        <v>10668</v>
      </c>
      <c r="B669" t="s">
        <v>703</v>
      </c>
      <c r="C669">
        <v>1022</v>
      </c>
      <c r="D669" t="s">
        <v>34</v>
      </c>
      <c r="E669" t="s">
        <v>30</v>
      </c>
      <c r="F669">
        <v>3</v>
      </c>
      <c r="G669">
        <v>187.8</v>
      </c>
      <c r="H669">
        <v>0.27</v>
      </c>
      <c r="I669" t="s">
        <v>31</v>
      </c>
      <c r="J669">
        <v>6</v>
      </c>
      <c r="K669">
        <v>1.9</v>
      </c>
      <c r="L669">
        <v>411.28</v>
      </c>
    </row>
    <row r="670" spans="1:12">
      <c r="A670">
        <v>10669</v>
      </c>
      <c r="B670" t="s">
        <v>704</v>
      </c>
      <c r="C670">
        <v>1761</v>
      </c>
      <c r="D670" t="s">
        <v>13</v>
      </c>
      <c r="E670" t="s">
        <v>43</v>
      </c>
      <c r="F670">
        <v>5</v>
      </c>
      <c r="G670">
        <v>27.51</v>
      </c>
      <c r="H670">
        <v>7.0000000000000007E-2</v>
      </c>
      <c r="I670" t="s">
        <v>28</v>
      </c>
      <c r="J670">
        <v>4</v>
      </c>
      <c r="K670">
        <v>2.8</v>
      </c>
      <c r="L670">
        <v>127.92</v>
      </c>
    </row>
    <row r="671" spans="1:12">
      <c r="A671">
        <v>10670</v>
      </c>
      <c r="B671" t="s">
        <v>705</v>
      </c>
      <c r="C671">
        <v>1521</v>
      </c>
      <c r="D671" t="s">
        <v>27</v>
      </c>
      <c r="E671" t="s">
        <v>30</v>
      </c>
      <c r="F671">
        <v>7</v>
      </c>
      <c r="G671">
        <v>567.34</v>
      </c>
      <c r="H671">
        <v>0.25</v>
      </c>
      <c r="I671" t="s">
        <v>31</v>
      </c>
      <c r="J671">
        <v>5</v>
      </c>
      <c r="K671">
        <v>2.6</v>
      </c>
      <c r="L671">
        <v>2978.54</v>
      </c>
    </row>
    <row r="672" spans="1:12">
      <c r="A672">
        <v>10671</v>
      </c>
      <c r="B672" t="s">
        <v>706</v>
      </c>
      <c r="C672">
        <v>1757</v>
      </c>
      <c r="D672" t="s">
        <v>27</v>
      </c>
      <c r="E672" t="s">
        <v>32</v>
      </c>
      <c r="F672">
        <v>1</v>
      </c>
      <c r="G672">
        <v>114.28</v>
      </c>
      <c r="H672">
        <v>0.23</v>
      </c>
      <c r="I672" t="s">
        <v>15</v>
      </c>
      <c r="J672">
        <v>7</v>
      </c>
      <c r="K672">
        <v>1.2</v>
      </c>
      <c r="L672">
        <v>88</v>
      </c>
    </row>
    <row r="673" spans="1:12">
      <c r="A673">
        <v>10672</v>
      </c>
      <c r="B673" t="s">
        <v>707</v>
      </c>
      <c r="C673">
        <v>1836</v>
      </c>
      <c r="D673" t="s">
        <v>27</v>
      </c>
      <c r="E673" t="s">
        <v>43</v>
      </c>
      <c r="F673">
        <v>2</v>
      </c>
      <c r="G673">
        <v>20.59</v>
      </c>
      <c r="H673">
        <v>0.26</v>
      </c>
      <c r="I673" t="s">
        <v>15</v>
      </c>
      <c r="J673">
        <v>7</v>
      </c>
      <c r="K673">
        <v>3.5</v>
      </c>
      <c r="L673">
        <v>30.47</v>
      </c>
    </row>
    <row r="674" spans="1:12">
      <c r="A674">
        <v>10673</v>
      </c>
      <c r="B674" t="s">
        <v>708</v>
      </c>
      <c r="C674">
        <v>1099</v>
      </c>
      <c r="D674" t="s">
        <v>27</v>
      </c>
      <c r="E674" t="s">
        <v>30</v>
      </c>
      <c r="F674">
        <v>6</v>
      </c>
      <c r="G674">
        <v>153.72</v>
      </c>
      <c r="H674">
        <v>7.0000000000000007E-2</v>
      </c>
      <c r="I674" t="s">
        <v>28</v>
      </c>
      <c r="J674">
        <v>6</v>
      </c>
      <c r="K674">
        <v>3.5</v>
      </c>
      <c r="L674">
        <v>857.76</v>
      </c>
    </row>
    <row r="675" spans="1:12">
      <c r="A675">
        <v>10674</v>
      </c>
      <c r="B675" t="s">
        <v>709</v>
      </c>
      <c r="C675">
        <v>1801</v>
      </c>
      <c r="D675" t="s">
        <v>27</v>
      </c>
      <c r="E675" t="s">
        <v>43</v>
      </c>
      <c r="F675">
        <v>2</v>
      </c>
      <c r="G675">
        <v>152.49</v>
      </c>
      <c r="H675">
        <v>0.06</v>
      </c>
      <c r="I675" t="s">
        <v>31</v>
      </c>
      <c r="J675">
        <v>10</v>
      </c>
      <c r="K675">
        <v>4.9000000000000004</v>
      </c>
      <c r="L675">
        <v>286.68</v>
      </c>
    </row>
    <row r="676" spans="1:12">
      <c r="A676">
        <v>10675</v>
      </c>
      <c r="B676" t="s">
        <v>710</v>
      </c>
      <c r="C676">
        <v>1179</v>
      </c>
      <c r="D676" t="s">
        <v>55</v>
      </c>
      <c r="E676" t="s">
        <v>32</v>
      </c>
      <c r="F676">
        <v>2</v>
      </c>
      <c r="G676">
        <v>261.87</v>
      </c>
      <c r="H676">
        <v>0.08</v>
      </c>
      <c r="I676" t="s">
        <v>31</v>
      </c>
      <c r="J676">
        <v>6</v>
      </c>
      <c r="K676">
        <v>2.2000000000000002</v>
      </c>
      <c r="L676">
        <v>481.84</v>
      </c>
    </row>
    <row r="677" spans="1:12">
      <c r="A677">
        <v>10676</v>
      </c>
      <c r="B677" t="s">
        <v>711</v>
      </c>
      <c r="C677">
        <v>1222</v>
      </c>
      <c r="D677" t="s">
        <v>55</v>
      </c>
      <c r="E677" t="s">
        <v>32</v>
      </c>
      <c r="F677">
        <v>6</v>
      </c>
      <c r="G677">
        <v>553.42999999999995</v>
      </c>
      <c r="H677">
        <v>0.13</v>
      </c>
      <c r="I677" t="s">
        <v>28</v>
      </c>
      <c r="J677">
        <v>6</v>
      </c>
      <c r="K677">
        <v>2.7</v>
      </c>
      <c r="L677">
        <v>2888.9</v>
      </c>
    </row>
    <row r="678" spans="1:12">
      <c r="A678">
        <v>10677</v>
      </c>
      <c r="B678" t="s">
        <v>712</v>
      </c>
      <c r="C678">
        <v>1905</v>
      </c>
      <c r="D678" t="s">
        <v>34</v>
      </c>
      <c r="E678" t="s">
        <v>43</v>
      </c>
      <c r="F678">
        <v>5</v>
      </c>
      <c r="G678">
        <v>529.32000000000005</v>
      </c>
      <c r="H678">
        <v>0.28000000000000003</v>
      </c>
      <c r="I678" t="s">
        <v>28</v>
      </c>
      <c r="J678">
        <v>4</v>
      </c>
      <c r="K678">
        <v>2.6</v>
      </c>
      <c r="L678">
        <v>1905.55</v>
      </c>
    </row>
    <row r="679" spans="1:12">
      <c r="A679">
        <v>10678</v>
      </c>
      <c r="B679" t="s">
        <v>713</v>
      </c>
      <c r="C679">
        <v>1761</v>
      </c>
      <c r="D679" t="s">
        <v>27</v>
      </c>
      <c r="E679" t="s">
        <v>30</v>
      </c>
      <c r="F679">
        <v>6</v>
      </c>
      <c r="G679">
        <v>282.27999999999997</v>
      </c>
      <c r="H679">
        <v>0.26</v>
      </c>
      <c r="I679" t="s">
        <v>31</v>
      </c>
      <c r="J679">
        <v>3</v>
      </c>
      <c r="K679">
        <v>4.7</v>
      </c>
      <c r="L679">
        <v>1253.32</v>
      </c>
    </row>
    <row r="680" spans="1:12">
      <c r="A680">
        <v>10679</v>
      </c>
      <c r="B680" t="s">
        <v>714</v>
      </c>
      <c r="C680">
        <v>1658</v>
      </c>
      <c r="D680" t="s">
        <v>27</v>
      </c>
      <c r="E680" t="s">
        <v>30</v>
      </c>
      <c r="F680">
        <v>5</v>
      </c>
      <c r="G680">
        <v>255.38</v>
      </c>
      <c r="H680">
        <v>0.32</v>
      </c>
      <c r="I680" t="s">
        <v>31</v>
      </c>
      <c r="J680">
        <v>1</v>
      </c>
      <c r="K680">
        <v>2.6</v>
      </c>
      <c r="L680">
        <v>868.29</v>
      </c>
    </row>
    <row r="681" spans="1:12">
      <c r="A681">
        <v>10680</v>
      </c>
      <c r="B681" t="s">
        <v>715</v>
      </c>
      <c r="C681">
        <v>1441</v>
      </c>
      <c r="D681" t="s">
        <v>13</v>
      </c>
      <c r="E681" t="s">
        <v>32</v>
      </c>
      <c r="F681">
        <v>6</v>
      </c>
      <c r="G681">
        <v>339.68</v>
      </c>
      <c r="H681">
        <v>0.02</v>
      </c>
      <c r="I681" t="s">
        <v>28</v>
      </c>
      <c r="J681">
        <v>3</v>
      </c>
      <c r="K681">
        <v>2.8</v>
      </c>
      <c r="L681">
        <v>1997.32</v>
      </c>
    </row>
    <row r="682" spans="1:12">
      <c r="A682">
        <v>10681</v>
      </c>
      <c r="B682" t="s">
        <v>716</v>
      </c>
      <c r="C682">
        <v>1607</v>
      </c>
      <c r="D682" t="s">
        <v>27</v>
      </c>
      <c r="E682" t="s">
        <v>30</v>
      </c>
      <c r="F682">
        <v>1</v>
      </c>
      <c r="G682">
        <v>157.41999999999999</v>
      </c>
      <c r="H682">
        <v>0</v>
      </c>
      <c r="I682" t="s">
        <v>28</v>
      </c>
      <c r="J682">
        <v>3</v>
      </c>
      <c r="K682">
        <v>2</v>
      </c>
      <c r="L682">
        <v>157.41999999999999</v>
      </c>
    </row>
    <row r="683" spans="1:12">
      <c r="A683">
        <v>10682</v>
      </c>
      <c r="B683" t="s">
        <v>717</v>
      </c>
      <c r="C683">
        <v>1768</v>
      </c>
      <c r="D683" t="s">
        <v>27</v>
      </c>
      <c r="E683" t="s">
        <v>32</v>
      </c>
      <c r="F683">
        <v>5</v>
      </c>
      <c r="G683">
        <v>45.53</v>
      </c>
      <c r="H683">
        <v>0.24</v>
      </c>
      <c r="I683" t="s">
        <v>28</v>
      </c>
      <c r="J683">
        <v>9</v>
      </c>
      <c r="K683">
        <v>1</v>
      </c>
      <c r="L683">
        <v>173.01</v>
      </c>
    </row>
    <row r="684" spans="1:12">
      <c r="A684">
        <v>10683</v>
      </c>
      <c r="B684" t="s">
        <v>718</v>
      </c>
      <c r="C684">
        <v>1324</v>
      </c>
      <c r="D684" t="s">
        <v>34</v>
      </c>
      <c r="E684" t="s">
        <v>30</v>
      </c>
      <c r="F684">
        <v>1</v>
      </c>
      <c r="G684">
        <v>564.45000000000005</v>
      </c>
      <c r="H684">
        <v>0.1</v>
      </c>
      <c r="I684" t="s">
        <v>28</v>
      </c>
      <c r="J684">
        <v>3</v>
      </c>
      <c r="K684">
        <v>1.4</v>
      </c>
      <c r="L684">
        <v>508.01</v>
      </c>
    </row>
    <row r="685" spans="1:12">
      <c r="A685">
        <v>10684</v>
      </c>
      <c r="B685" t="s">
        <v>719</v>
      </c>
      <c r="C685">
        <v>1515</v>
      </c>
      <c r="D685" t="s">
        <v>27</v>
      </c>
      <c r="E685" t="s">
        <v>32</v>
      </c>
      <c r="F685">
        <v>7</v>
      </c>
      <c r="G685">
        <v>124.22</v>
      </c>
      <c r="H685">
        <v>0.12</v>
      </c>
      <c r="I685" t="s">
        <v>31</v>
      </c>
      <c r="J685">
        <v>8</v>
      </c>
      <c r="K685">
        <v>3.8</v>
      </c>
      <c r="L685">
        <v>765.2</v>
      </c>
    </row>
    <row r="686" spans="1:12">
      <c r="A686">
        <v>10685</v>
      </c>
      <c r="B686" t="s">
        <v>720</v>
      </c>
      <c r="C686">
        <v>1015</v>
      </c>
      <c r="D686" t="s">
        <v>34</v>
      </c>
      <c r="E686" t="s">
        <v>14</v>
      </c>
      <c r="F686">
        <v>5</v>
      </c>
      <c r="G686">
        <v>131.06</v>
      </c>
      <c r="H686">
        <v>0.19</v>
      </c>
      <c r="I686" t="s">
        <v>28</v>
      </c>
      <c r="J686">
        <v>8</v>
      </c>
      <c r="K686">
        <v>3.7</v>
      </c>
      <c r="L686">
        <v>530.79</v>
      </c>
    </row>
    <row r="687" spans="1:12">
      <c r="A687">
        <v>10686</v>
      </c>
      <c r="B687" t="s">
        <v>721</v>
      </c>
      <c r="C687">
        <v>1791</v>
      </c>
      <c r="D687" t="s">
        <v>34</v>
      </c>
      <c r="E687" t="s">
        <v>30</v>
      </c>
      <c r="F687">
        <v>5</v>
      </c>
      <c r="G687">
        <v>291.39</v>
      </c>
      <c r="H687">
        <v>0.04</v>
      </c>
      <c r="I687" t="s">
        <v>28</v>
      </c>
      <c r="J687">
        <v>3</v>
      </c>
      <c r="K687">
        <v>2.2999999999999998</v>
      </c>
      <c r="L687">
        <v>1398.67</v>
      </c>
    </row>
    <row r="688" spans="1:12">
      <c r="A688">
        <v>10687</v>
      </c>
      <c r="B688" t="s">
        <v>722</v>
      </c>
      <c r="C688">
        <v>1335</v>
      </c>
      <c r="D688" t="s">
        <v>34</v>
      </c>
      <c r="E688" t="s">
        <v>30</v>
      </c>
      <c r="F688">
        <v>6</v>
      </c>
      <c r="G688">
        <v>302.58999999999997</v>
      </c>
      <c r="H688">
        <v>0.22</v>
      </c>
      <c r="I688" t="s">
        <v>15</v>
      </c>
      <c r="J688">
        <v>10</v>
      </c>
      <c r="K688">
        <v>2.9</v>
      </c>
      <c r="L688">
        <v>1416.12</v>
      </c>
    </row>
    <row r="689" spans="1:12">
      <c r="A689">
        <v>10688</v>
      </c>
      <c r="B689" t="s">
        <v>723</v>
      </c>
      <c r="C689">
        <v>1758</v>
      </c>
      <c r="D689" t="s">
        <v>55</v>
      </c>
      <c r="E689" t="s">
        <v>30</v>
      </c>
      <c r="F689">
        <v>5</v>
      </c>
      <c r="G689">
        <v>25.78</v>
      </c>
      <c r="H689">
        <v>0.11</v>
      </c>
      <c r="I689" t="s">
        <v>28</v>
      </c>
      <c r="J689">
        <v>10</v>
      </c>
      <c r="K689">
        <v>2.2000000000000002</v>
      </c>
      <c r="L689">
        <v>114.72</v>
      </c>
    </row>
    <row r="690" spans="1:12">
      <c r="A690">
        <v>10689</v>
      </c>
      <c r="B690" t="s">
        <v>724</v>
      </c>
      <c r="C690">
        <v>1257</v>
      </c>
      <c r="D690" t="s">
        <v>34</v>
      </c>
      <c r="E690" t="s">
        <v>43</v>
      </c>
      <c r="F690">
        <v>1</v>
      </c>
      <c r="G690">
        <v>101.55</v>
      </c>
      <c r="H690">
        <v>0.22</v>
      </c>
      <c r="I690" t="s">
        <v>31</v>
      </c>
      <c r="J690">
        <v>6</v>
      </c>
      <c r="K690">
        <v>3.9</v>
      </c>
      <c r="L690">
        <v>79.209999999999994</v>
      </c>
    </row>
    <row r="691" spans="1:12">
      <c r="A691">
        <v>10690</v>
      </c>
      <c r="B691" t="s">
        <v>725</v>
      </c>
      <c r="C691">
        <v>1496</v>
      </c>
      <c r="D691" t="s">
        <v>27</v>
      </c>
      <c r="E691" t="s">
        <v>30</v>
      </c>
      <c r="F691">
        <v>7</v>
      </c>
      <c r="G691">
        <v>236.22</v>
      </c>
      <c r="H691">
        <v>0.28999999999999998</v>
      </c>
      <c r="I691" t="s">
        <v>15</v>
      </c>
      <c r="J691">
        <v>8</v>
      </c>
      <c r="K691">
        <v>4.4000000000000004</v>
      </c>
      <c r="L691">
        <v>1174.01</v>
      </c>
    </row>
    <row r="692" spans="1:12">
      <c r="A692">
        <v>10691</v>
      </c>
      <c r="B692" t="s">
        <v>726</v>
      </c>
      <c r="C692">
        <v>1987</v>
      </c>
      <c r="D692" t="s">
        <v>13</v>
      </c>
      <c r="E692" t="s">
        <v>43</v>
      </c>
      <c r="F692">
        <v>6</v>
      </c>
      <c r="G692">
        <v>414.98</v>
      </c>
      <c r="H692">
        <v>0.06</v>
      </c>
      <c r="I692" t="s">
        <v>31</v>
      </c>
      <c r="J692">
        <v>8</v>
      </c>
      <c r="K692">
        <v>4.5999999999999996</v>
      </c>
      <c r="L692">
        <v>2340.4899999999998</v>
      </c>
    </row>
    <row r="693" spans="1:12">
      <c r="A693">
        <v>10692</v>
      </c>
      <c r="B693" t="s">
        <v>727</v>
      </c>
      <c r="C693">
        <v>1895</v>
      </c>
      <c r="D693" t="s">
        <v>34</v>
      </c>
      <c r="E693" t="s">
        <v>43</v>
      </c>
      <c r="F693">
        <v>3</v>
      </c>
      <c r="G693">
        <v>148.62</v>
      </c>
      <c r="H693">
        <v>0.33</v>
      </c>
      <c r="I693" t="s">
        <v>31</v>
      </c>
      <c r="J693">
        <v>10</v>
      </c>
      <c r="K693">
        <v>1.7</v>
      </c>
      <c r="L693">
        <v>298.73</v>
      </c>
    </row>
    <row r="694" spans="1:12">
      <c r="A694">
        <v>10693</v>
      </c>
      <c r="B694" t="s">
        <v>728</v>
      </c>
      <c r="C694">
        <v>1159</v>
      </c>
      <c r="D694" t="s">
        <v>27</v>
      </c>
      <c r="E694" t="s">
        <v>32</v>
      </c>
      <c r="F694">
        <v>7</v>
      </c>
      <c r="G694">
        <v>262.45999999999998</v>
      </c>
      <c r="H694">
        <v>0.19</v>
      </c>
      <c r="I694" t="s">
        <v>28</v>
      </c>
      <c r="J694">
        <v>10</v>
      </c>
      <c r="K694">
        <v>3.8</v>
      </c>
      <c r="L694">
        <v>1488.15</v>
      </c>
    </row>
    <row r="695" spans="1:12">
      <c r="A695">
        <v>10694</v>
      </c>
      <c r="B695" t="s">
        <v>729</v>
      </c>
      <c r="C695">
        <v>1474</v>
      </c>
      <c r="D695" t="s">
        <v>27</v>
      </c>
      <c r="E695" t="s">
        <v>43</v>
      </c>
      <c r="F695">
        <v>7</v>
      </c>
      <c r="G695">
        <v>341.05</v>
      </c>
      <c r="H695">
        <v>0.32</v>
      </c>
      <c r="I695" t="s">
        <v>28</v>
      </c>
      <c r="J695">
        <v>9</v>
      </c>
      <c r="K695">
        <v>4.9000000000000004</v>
      </c>
      <c r="L695">
        <v>1623.4</v>
      </c>
    </row>
    <row r="696" spans="1:12">
      <c r="A696">
        <v>10695</v>
      </c>
      <c r="B696" t="s">
        <v>730</v>
      </c>
      <c r="C696">
        <v>1851</v>
      </c>
      <c r="D696" t="s">
        <v>34</v>
      </c>
      <c r="E696" t="s">
        <v>43</v>
      </c>
      <c r="F696">
        <v>1</v>
      </c>
      <c r="G696">
        <v>534.83000000000004</v>
      </c>
      <c r="H696">
        <v>7.0000000000000007E-2</v>
      </c>
      <c r="I696" t="s">
        <v>31</v>
      </c>
      <c r="J696">
        <v>9</v>
      </c>
      <c r="K696">
        <v>3.6</v>
      </c>
      <c r="L696">
        <v>497.39</v>
      </c>
    </row>
    <row r="697" spans="1:12">
      <c r="A697">
        <v>10696</v>
      </c>
      <c r="B697" t="s">
        <v>731</v>
      </c>
      <c r="C697">
        <v>1663</v>
      </c>
      <c r="D697" t="s">
        <v>55</v>
      </c>
      <c r="E697" t="s">
        <v>14</v>
      </c>
      <c r="F697">
        <v>7</v>
      </c>
      <c r="G697">
        <v>205.75</v>
      </c>
      <c r="H697">
        <v>0.21</v>
      </c>
      <c r="I697" t="s">
        <v>31</v>
      </c>
      <c r="J697">
        <v>8</v>
      </c>
      <c r="K697">
        <v>2.4</v>
      </c>
      <c r="L697">
        <v>1137.8</v>
      </c>
    </row>
    <row r="698" spans="1:12">
      <c r="A698">
        <v>10697</v>
      </c>
      <c r="B698" t="s">
        <v>732</v>
      </c>
      <c r="C698">
        <v>1907</v>
      </c>
      <c r="D698" t="s">
        <v>34</v>
      </c>
      <c r="E698" t="s">
        <v>30</v>
      </c>
      <c r="F698">
        <v>3</v>
      </c>
      <c r="G698">
        <v>93.13</v>
      </c>
      <c r="H698">
        <v>0.14000000000000001</v>
      </c>
      <c r="I698" t="s">
        <v>28</v>
      </c>
      <c r="J698">
        <v>7</v>
      </c>
      <c r="K698">
        <v>3.5</v>
      </c>
      <c r="L698">
        <v>240.28</v>
      </c>
    </row>
    <row r="699" spans="1:12">
      <c r="A699">
        <v>10698</v>
      </c>
      <c r="B699" t="s">
        <v>733</v>
      </c>
      <c r="C699">
        <v>1689</v>
      </c>
      <c r="D699" t="s">
        <v>27</v>
      </c>
      <c r="E699" t="s">
        <v>43</v>
      </c>
      <c r="F699">
        <v>2</v>
      </c>
      <c r="G699">
        <v>301.22000000000003</v>
      </c>
      <c r="H699">
        <v>0.27</v>
      </c>
      <c r="I699" t="s">
        <v>31</v>
      </c>
      <c r="J699">
        <v>10</v>
      </c>
      <c r="K699">
        <v>3.8</v>
      </c>
      <c r="L699">
        <v>439.78</v>
      </c>
    </row>
    <row r="700" spans="1:12">
      <c r="A700">
        <v>10699</v>
      </c>
      <c r="B700" t="s">
        <v>734</v>
      </c>
      <c r="C700">
        <v>1674</v>
      </c>
      <c r="D700" t="s">
        <v>27</v>
      </c>
      <c r="E700" t="s">
        <v>30</v>
      </c>
      <c r="F700">
        <v>6</v>
      </c>
      <c r="G700">
        <v>451.83</v>
      </c>
      <c r="H700">
        <v>0.21</v>
      </c>
      <c r="I700" t="s">
        <v>15</v>
      </c>
      <c r="J700">
        <v>3</v>
      </c>
      <c r="K700">
        <v>2.6</v>
      </c>
      <c r="L700">
        <v>2141.67</v>
      </c>
    </row>
    <row r="701" spans="1:12">
      <c r="A701">
        <v>10700</v>
      </c>
      <c r="B701" t="s">
        <v>735</v>
      </c>
      <c r="C701">
        <v>1379</v>
      </c>
      <c r="D701" t="s">
        <v>27</v>
      </c>
      <c r="E701" t="s">
        <v>43</v>
      </c>
      <c r="F701">
        <v>2</v>
      </c>
      <c r="G701">
        <v>79.27</v>
      </c>
      <c r="H701">
        <v>0.17</v>
      </c>
      <c r="I701" t="s">
        <v>28</v>
      </c>
      <c r="J701">
        <v>7</v>
      </c>
      <c r="K701">
        <v>1.4</v>
      </c>
      <c r="L701">
        <v>131.59</v>
      </c>
    </row>
    <row r="702" spans="1:12">
      <c r="A702">
        <v>10701</v>
      </c>
      <c r="B702" t="s">
        <v>736</v>
      </c>
      <c r="C702">
        <v>1544</v>
      </c>
      <c r="D702" t="s">
        <v>55</v>
      </c>
      <c r="E702" t="s">
        <v>32</v>
      </c>
      <c r="F702">
        <v>6</v>
      </c>
      <c r="G702">
        <v>263.44</v>
      </c>
      <c r="H702">
        <v>0.32</v>
      </c>
      <c r="I702" t="s">
        <v>31</v>
      </c>
      <c r="J702">
        <v>4</v>
      </c>
      <c r="K702">
        <v>3.4</v>
      </c>
      <c r="L702">
        <v>1074.8399999999999</v>
      </c>
    </row>
    <row r="703" spans="1:12">
      <c r="A703">
        <v>10702</v>
      </c>
      <c r="B703" t="s">
        <v>737</v>
      </c>
      <c r="C703">
        <v>1928</v>
      </c>
      <c r="D703" t="s">
        <v>34</v>
      </c>
      <c r="E703" t="s">
        <v>14</v>
      </c>
      <c r="F703">
        <v>7</v>
      </c>
      <c r="G703">
        <v>25.4</v>
      </c>
      <c r="H703">
        <v>0.13</v>
      </c>
      <c r="I703" t="s">
        <v>31</v>
      </c>
      <c r="J703">
        <v>2</v>
      </c>
      <c r="K703">
        <v>4.2</v>
      </c>
      <c r="L703">
        <v>154.69</v>
      </c>
    </row>
    <row r="704" spans="1:12">
      <c r="A704">
        <v>10703</v>
      </c>
      <c r="B704" t="s">
        <v>738</v>
      </c>
      <c r="C704">
        <v>1956</v>
      </c>
      <c r="D704" t="s">
        <v>34</v>
      </c>
      <c r="E704" t="s">
        <v>43</v>
      </c>
      <c r="F704">
        <v>6</v>
      </c>
      <c r="G704">
        <v>34.630000000000003</v>
      </c>
      <c r="H704">
        <v>0.08</v>
      </c>
      <c r="I704" t="s">
        <v>15</v>
      </c>
      <c r="J704">
        <v>8</v>
      </c>
      <c r="K704">
        <v>5</v>
      </c>
      <c r="L704">
        <v>191.16</v>
      </c>
    </row>
    <row r="705" spans="1:12">
      <c r="A705">
        <v>10704</v>
      </c>
      <c r="B705" t="s">
        <v>739</v>
      </c>
      <c r="C705">
        <v>1690</v>
      </c>
      <c r="D705" t="s">
        <v>55</v>
      </c>
      <c r="E705" t="s">
        <v>30</v>
      </c>
      <c r="F705">
        <v>1</v>
      </c>
      <c r="G705">
        <v>297.52999999999997</v>
      </c>
      <c r="H705">
        <v>0.21</v>
      </c>
      <c r="I705" t="s">
        <v>15</v>
      </c>
      <c r="J705">
        <v>2</v>
      </c>
      <c r="K705">
        <v>1.9</v>
      </c>
      <c r="L705">
        <v>235.05</v>
      </c>
    </row>
    <row r="706" spans="1:12">
      <c r="A706">
        <v>10705</v>
      </c>
      <c r="B706" t="s">
        <v>740</v>
      </c>
      <c r="C706">
        <v>1426</v>
      </c>
      <c r="D706" t="s">
        <v>27</v>
      </c>
      <c r="E706" t="s">
        <v>32</v>
      </c>
      <c r="F706">
        <v>3</v>
      </c>
      <c r="G706">
        <v>189.45</v>
      </c>
      <c r="H706">
        <v>0.22</v>
      </c>
      <c r="I706" t="s">
        <v>31</v>
      </c>
      <c r="J706">
        <v>1</v>
      </c>
      <c r="K706">
        <v>3.8</v>
      </c>
      <c r="L706">
        <v>443.31</v>
      </c>
    </row>
    <row r="707" spans="1:12">
      <c r="A707">
        <v>10706</v>
      </c>
      <c r="B707" t="s">
        <v>741</v>
      </c>
      <c r="C707">
        <v>1612</v>
      </c>
      <c r="D707" t="s">
        <v>55</v>
      </c>
      <c r="E707" t="s">
        <v>30</v>
      </c>
      <c r="F707">
        <v>6</v>
      </c>
      <c r="G707">
        <v>509.39</v>
      </c>
      <c r="H707">
        <v>0.15</v>
      </c>
      <c r="I707" t="s">
        <v>28</v>
      </c>
      <c r="J707">
        <v>5</v>
      </c>
      <c r="K707">
        <v>1.1000000000000001</v>
      </c>
      <c r="L707">
        <v>2597.89</v>
      </c>
    </row>
    <row r="708" spans="1:12">
      <c r="A708">
        <v>10707</v>
      </c>
      <c r="B708" t="s">
        <v>742</v>
      </c>
      <c r="C708">
        <v>1267</v>
      </c>
      <c r="D708" t="s">
        <v>55</v>
      </c>
      <c r="E708" t="s">
        <v>32</v>
      </c>
      <c r="F708">
        <v>3</v>
      </c>
      <c r="G708">
        <v>367.26</v>
      </c>
      <c r="H708">
        <v>0.17</v>
      </c>
      <c r="I708" t="s">
        <v>28</v>
      </c>
      <c r="J708">
        <v>10</v>
      </c>
      <c r="K708">
        <v>4.9000000000000004</v>
      </c>
      <c r="L708">
        <v>914.48</v>
      </c>
    </row>
    <row r="709" spans="1:12">
      <c r="A709">
        <v>10708</v>
      </c>
      <c r="B709" t="s">
        <v>743</v>
      </c>
      <c r="C709">
        <v>1834</v>
      </c>
      <c r="D709" t="s">
        <v>55</v>
      </c>
      <c r="E709" t="s">
        <v>14</v>
      </c>
      <c r="F709">
        <v>6</v>
      </c>
      <c r="G709">
        <v>280.55</v>
      </c>
      <c r="H709">
        <v>0.34</v>
      </c>
      <c r="I709" t="s">
        <v>28</v>
      </c>
      <c r="J709">
        <v>9</v>
      </c>
      <c r="K709">
        <v>1.1000000000000001</v>
      </c>
      <c r="L709">
        <v>1110.98</v>
      </c>
    </row>
    <row r="710" spans="1:12">
      <c r="A710">
        <v>10709</v>
      </c>
      <c r="B710" t="s">
        <v>744</v>
      </c>
      <c r="C710">
        <v>1576</v>
      </c>
      <c r="D710" t="s">
        <v>27</v>
      </c>
      <c r="E710" t="s">
        <v>32</v>
      </c>
      <c r="F710">
        <v>3</v>
      </c>
      <c r="G710">
        <v>253.64</v>
      </c>
      <c r="H710">
        <v>0.26</v>
      </c>
      <c r="I710" t="s">
        <v>31</v>
      </c>
      <c r="J710">
        <v>5</v>
      </c>
      <c r="K710">
        <v>2.4</v>
      </c>
      <c r="L710">
        <v>563.08000000000004</v>
      </c>
    </row>
    <row r="711" spans="1:12">
      <c r="A711">
        <v>10710</v>
      </c>
      <c r="B711" t="s">
        <v>745</v>
      </c>
      <c r="C711">
        <v>1416</v>
      </c>
      <c r="D711" t="s">
        <v>34</v>
      </c>
      <c r="E711" t="s">
        <v>30</v>
      </c>
      <c r="F711">
        <v>2</v>
      </c>
      <c r="G711">
        <v>305.89</v>
      </c>
      <c r="H711">
        <v>0.04</v>
      </c>
      <c r="I711" t="s">
        <v>31</v>
      </c>
      <c r="J711">
        <v>11</v>
      </c>
      <c r="K711">
        <v>1.3</v>
      </c>
      <c r="L711">
        <v>587.30999999999995</v>
      </c>
    </row>
    <row r="712" spans="1:12">
      <c r="A712">
        <v>10711</v>
      </c>
      <c r="B712" t="s">
        <v>746</v>
      </c>
      <c r="C712">
        <v>1167</v>
      </c>
      <c r="D712" t="s">
        <v>55</v>
      </c>
      <c r="E712" t="s">
        <v>30</v>
      </c>
      <c r="F712">
        <v>1</v>
      </c>
      <c r="G712">
        <v>38.659999999999997</v>
      </c>
      <c r="H712">
        <v>7.0000000000000007E-2</v>
      </c>
      <c r="I712" t="s">
        <v>15</v>
      </c>
      <c r="J712">
        <v>2</v>
      </c>
      <c r="K712">
        <v>3.5</v>
      </c>
      <c r="L712">
        <v>35.950000000000003</v>
      </c>
    </row>
    <row r="713" spans="1:12">
      <c r="A713">
        <v>10712</v>
      </c>
      <c r="B713" t="s">
        <v>747</v>
      </c>
      <c r="C713">
        <v>1841</v>
      </c>
      <c r="D713" t="s">
        <v>27</v>
      </c>
      <c r="E713" t="s">
        <v>43</v>
      </c>
      <c r="F713">
        <v>6</v>
      </c>
      <c r="G713">
        <v>537.28</v>
      </c>
      <c r="H713">
        <v>0.34</v>
      </c>
      <c r="I713" t="s">
        <v>31</v>
      </c>
      <c r="J713">
        <v>10</v>
      </c>
      <c r="K713">
        <v>2.4</v>
      </c>
      <c r="L713">
        <v>2127.63</v>
      </c>
    </row>
    <row r="714" spans="1:12">
      <c r="A714">
        <v>10713</v>
      </c>
      <c r="B714" t="s">
        <v>748</v>
      </c>
      <c r="C714">
        <v>1042</v>
      </c>
      <c r="D714" t="s">
        <v>34</v>
      </c>
      <c r="E714" t="s">
        <v>32</v>
      </c>
      <c r="F714">
        <v>4</v>
      </c>
      <c r="G714">
        <v>599.01</v>
      </c>
      <c r="H714">
        <v>0.25</v>
      </c>
      <c r="I714" t="s">
        <v>31</v>
      </c>
      <c r="J714">
        <v>4</v>
      </c>
      <c r="K714">
        <v>3.9</v>
      </c>
      <c r="L714">
        <v>1797.03</v>
      </c>
    </row>
    <row r="715" spans="1:12">
      <c r="A715">
        <v>10714</v>
      </c>
      <c r="B715" t="s">
        <v>749</v>
      </c>
      <c r="C715">
        <v>1555</v>
      </c>
      <c r="D715" t="s">
        <v>13</v>
      </c>
      <c r="E715" t="s">
        <v>30</v>
      </c>
      <c r="F715">
        <v>3</v>
      </c>
      <c r="G715">
        <v>121.17</v>
      </c>
      <c r="H715">
        <v>0.32</v>
      </c>
      <c r="I715" t="s">
        <v>31</v>
      </c>
      <c r="J715">
        <v>8</v>
      </c>
      <c r="K715">
        <v>2.9</v>
      </c>
      <c r="L715">
        <v>247.19</v>
      </c>
    </row>
    <row r="716" spans="1:12">
      <c r="A716">
        <v>10715</v>
      </c>
      <c r="B716" t="s">
        <v>750</v>
      </c>
      <c r="C716">
        <v>1284</v>
      </c>
      <c r="D716" t="s">
        <v>13</v>
      </c>
      <c r="E716" t="s">
        <v>43</v>
      </c>
      <c r="F716">
        <v>3</v>
      </c>
      <c r="G716">
        <v>85.42</v>
      </c>
      <c r="H716">
        <v>0.11</v>
      </c>
      <c r="I716" t="s">
        <v>28</v>
      </c>
      <c r="J716">
        <v>7</v>
      </c>
      <c r="K716">
        <v>2.7</v>
      </c>
      <c r="L716">
        <v>228.07</v>
      </c>
    </row>
    <row r="717" spans="1:12">
      <c r="A717">
        <v>10716</v>
      </c>
      <c r="B717" t="s">
        <v>751</v>
      </c>
      <c r="C717">
        <v>1396</v>
      </c>
      <c r="D717" t="s">
        <v>27</v>
      </c>
      <c r="E717" t="s">
        <v>14</v>
      </c>
      <c r="F717">
        <v>4</v>
      </c>
      <c r="G717">
        <v>98.99</v>
      </c>
      <c r="H717">
        <v>0.26</v>
      </c>
      <c r="I717" t="s">
        <v>31</v>
      </c>
      <c r="J717">
        <v>5</v>
      </c>
      <c r="K717">
        <v>2.4</v>
      </c>
      <c r="L717">
        <v>293.01</v>
      </c>
    </row>
    <row r="718" spans="1:12">
      <c r="A718">
        <v>10717</v>
      </c>
      <c r="B718" t="s">
        <v>752</v>
      </c>
      <c r="C718">
        <v>1011</v>
      </c>
      <c r="D718" t="s">
        <v>34</v>
      </c>
      <c r="E718" t="s">
        <v>30</v>
      </c>
      <c r="F718">
        <v>1</v>
      </c>
      <c r="G718">
        <v>401.7</v>
      </c>
      <c r="H718">
        <v>0.25</v>
      </c>
      <c r="I718" t="s">
        <v>31</v>
      </c>
      <c r="J718">
        <v>4</v>
      </c>
      <c r="K718">
        <v>1.3</v>
      </c>
      <c r="L718">
        <v>301.27</v>
      </c>
    </row>
    <row r="719" spans="1:12">
      <c r="A719">
        <v>10718</v>
      </c>
      <c r="B719" t="s">
        <v>753</v>
      </c>
      <c r="C719">
        <v>1606</v>
      </c>
      <c r="D719" t="s">
        <v>27</v>
      </c>
      <c r="E719" t="s">
        <v>43</v>
      </c>
      <c r="F719">
        <v>3</v>
      </c>
      <c r="G719">
        <v>401.94</v>
      </c>
      <c r="H719">
        <v>0.1</v>
      </c>
      <c r="I719" t="s">
        <v>15</v>
      </c>
      <c r="J719">
        <v>5</v>
      </c>
      <c r="K719">
        <v>1.8</v>
      </c>
      <c r="L719">
        <v>1085.24</v>
      </c>
    </row>
    <row r="720" spans="1:12">
      <c r="A720">
        <v>10719</v>
      </c>
      <c r="B720" t="s">
        <v>754</v>
      </c>
      <c r="C720">
        <v>1301</v>
      </c>
      <c r="D720" t="s">
        <v>55</v>
      </c>
      <c r="E720" t="s">
        <v>30</v>
      </c>
      <c r="F720">
        <v>1</v>
      </c>
      <c r="G720">
        <v>511.04</v>
      </c>
      <c r="H720">
        <v>0.19</v>
      </c>
      <c r="I720" t="s">
        <v>28</v>
      </c>
      <c r="J720">
        <v>7</v>
      </c>
      <c r="K720">
        <v>3.6</v>
      </c>
      <c r="L720">
        <v>413.94</v>
      </c>
    </row>
    <row r="721" spans="1:12">
      <c r="A721">
        <v>10720</v>
      </c>
      <c r="B721" t="s">
        <v>755</v>
      </c>
      <c r="C721">
        <v>1897</v>
      </c>
      <c r="D721" t="s">
        <v>13</v>
      </c>
      <c r="E721" t="s">
        <v>32</v>
      </c>
      <c r="F721">
        <v>3</v>
      </c>
      <c r="G721">
        <v>454.82</v>
      </c>
      <c r="H721">
        <v>0.22</v>
      </c>
      <c r="I721" t="s">
        <v>15</v>
      </c>
      <c r="J721">
        <v>5</v>
      </c>
      <c r="K721">
        <v>3</v>
      </c>
      <c r="L721">
        <v>1064.28</v>
      </c>
    </row>
    <row r="722" spans="1:12">
      <c r="A722">
        <v>10721</v>
      </c>
      <c r="B722" t="s">
        <v>756</v>
      </c>
      <c r="C722">
        <v>1252</v>
      </c>
      <c r="D722" t="s">
        <v>34</v>
      </c>
      <c r="E722" t="s">
        <v>43</v>
      </c>
      <c r="F722">
        <v>7</v>
      </c>
      <c r="G722">
        <v>278.07</v>
      </c>
      <c r="H722">
        <v>0.17</v>
      </c>
      <c r="I722" t="s">
        <v>31</v>
      </c>
      <c r="J722">
        <v>8</v>
      </c>
      <c r="K722">
        <v>1.3</v>
      </c>
      <c r="L722">
        <v>1615.59</v>
      </c>
    </row>
    <row r="723" spans="1:12">
      <c r="A723">
        <v>10722</v>
      </c>
      <c r="B723" t="s">
        <v>757</v>
      </c>
      <c r="C723">
        <v>1498</v>
      </c>
      <c r="D723" t="s">
        <v>34</v>
      </c>
      <c r="E723" t="s">
        <v>32</v>
      </c>
      <c r="F723">
        <v>5</v>
      </c>
      <c r="G723">
        <v>373.52</v>
      </c>
      <c r="H723">
        <v>0.28999999999999998</v>
      </c>
      <c r="I723" t="s">
        <v>28</v>
      </c>
      <c r="J723">
        <v>7</v>
      </c>
      <c r="K723">
        <v>3.2</v>
      </c>
      <c r="L723">
        <v>1326</v>
      </c>
    </row>
    <row r="724" spans="1:12">
      <c r="A724">
        <v>10723</v>
      </c>
      <c r="B724" t="s">
        <v>758</v>
      </c>
      <c r="C724">
        <v>1753</v>
      </c>
      <c r="D724" t="s">
        <v>13</v>
      </c>
      <c r="E724" t="s">
        <v>14</v>
      </c>
      <c r="F724">
        <v>7</v>
      </c>
      <c r="G724">
        <v>417.65</v>
      </c>
      <c r="H724">
        <v>0.28999999999999998</v>
      </c>
      <c r="I724" t="s">
        <v>28</v>
      </c>
      <c r="J724">
        <v>7</v>
      </c>
      <c r="K724">
        <v>1.2</v>
      </c>
      <c r="L724">
        <v>2075.7199999999998</v>
      </c>
    </row>
    <row r="725" spans="1:12">
      <c r="A725">
        <v>10724</v>
      </c>
      <c r="B725" t="s">
        <v>759</v>
      </c>
      <c r="C725">
        <v>1034</v>
      </c>
      <c r="D725" t="s">
        <v>27</v>
      </c>
      <c r="E725" t="s">
        <v>32</v>
      </c>
      <c r="F725">
        <v>3</v>
      </c>
      <c r="G725">
        <v>314.95</v>
      </c>
      <c r="H725">
        <v>0.3</v>
      </c>
      <c r="I725" t="s">
        <v>28</v>
      </c>
      <c r="J725">
        <v>9</v>
      </c>
      <c r="K725">
        <v>3</v>
      </c>
      <c r="L725">
        <v>661.39</v>
      </c>
    </row>
    <row r="726" spans="1:12">
      <c r="A726">
        <v>10725</v>
      </c>
      <c r="B726" t="s">
        <v>760</v>
      </c>
      <c r="C726">
        <v>1726</v>
      </c>
      <c r="D726" t="s">
        <v>27</v>
      </c>
      <c r="E726" t="s">
        <v>43</v>
      </c>
      <c r="F726">
        <v>5</v>
      </c>
      <c r="G726">
        <v>293.26</v>
      </c>
      <c r="H726">
        <v>0.28000000000000003</v>
      </c>
      <c r="I726" t="s">
        <v>31</v>
      </c>
      <c r="J726">
        <v>8</v>
      </c>
      <c r="K726">
        <v>4.9000000000000004</v>
      </c>
      <c r="L726">
        <v>1055.74</v>
      </c>
    </row>
    <row r="727" spans="1:12">
      <c r="A727">
        <v>10726</v>
      </c>
      <c r="B727" t="s">
        <v>761</v>
      </c>
      <c r="C727">
        <v>1848</v>
      </c>
      <c r="D727" t="s">
        <v>13</v>
      </c>
      <c r="E727" t="s">
        <v>30</v>
      </c>
      <c r="F727">
        <v>6</v>
      </c>
      <c r="G727">
        <v>392.38</v>
      </c>
      <c r="H727">
        <v>0.17</v>
      </c>
      <c r="I727" t="s">
        <v>28</v>
      </c>
      <c r="J727">
        <v>8</v>
      </c>
      <c r="K727">
        <v>2.2000000000000002</v>
      </c>
      <c r="L727">
        <v>1954.05</v>
      </c>
    </row>
    <row r="728" spans="1:12">
      <c r="A728">
        <v>10727</v>
      </c>
      <c r="B728" t="s">
        <v>762</v>
      </c>
      <c r="C728">
        <v>1089</v>
      </c>
      <c r="D728" t="s">
        <v>34</v>
      </c>
      <c r="E728" t="s">
        <v>43</v>
      </c>
      <c r="F728">
        <v>1</v>
      </c>
      <c r="G728">
        <v>341.12</v>
      </c>
      <c r="H728">
        <v>0.13</v>
      </c>
      <c r="I728" t="s">
        <v>28</v>
      </c>
      <c r="J728">
        <v>6</v>
      </c>
      <c r="K728">
        <v>3.9</v>
      </c>
      <c r="L728">
        <v>296.77</v>
      </c>
    </row>
    <row r="729" spans="1:12">
      <c r="A729">
        <v>10728</v>
      </c>
      <c r="B729" t="s">
        <v>763</v>
      </c>
      <c r="C729">
        <v>1775</v>
      </c>
      <c r="D729" t="s">
        <v>27</v>
      </c>
      <c r="E729" t="s">
        <v>32</v>
      </c>
      <c r="F729">
        <v>3</v>
      </c>
      <c r="G729">
        <v>391.71</v>
      </c>
      <c r="H729">
        <v>0.28999999999999998</v>
      </c>
      <c r="I729" t="s">
        <v>15</v>
      </c>
      <c r="J729">
        <v>7</v>
      </c>
      <c r="K729">
        <v>4</v>
      </c>
      <c r="L729">
        <v>834.34</v>
      </c>
    </row>
    <row r="730" spans="1:12">
      <c r="A730">
        <v>10729</v>
      </c>
      <c r="B730" t="s">
        <v>764</v>
      </c>
      <c r="C730">
        <v>1604</v>
      </c>
      <c r="D730" t="s">
        <v>34</v>
      </c>
      <c r="E730" t="s">
        <v>32</v>
      </c>
      <c r="F730">
        <v>2</v>
      </c>
      <c r="G730">
        <v>373.52</v>
      </c>
      <c r="H730">
        <v>0.17</v>
      </c>
      <c r="I730" t="s">
        <v>31</v>
      </c>
      <c r="J730">
        <v>8</v>
      </c>
      <c r="K730">
        <v>2.6</v>
      </c>
      <c r="L730">
        <v>620.04</v>
      </c>
    </row>
    <row r="731" spans="1:12">
      <c r="A731">
        <v>10730</v>
      </c>
      <c r="B731" t="s">
        <v>765</v>
      </c>
      <c r="C731">
        <v>1921</v>
      </c>
      <c r="D731" t="s">
        <v>27</v>
      </c>
      <c r="E731" t="s">
        <v>30</v>
      </c>
      <c r="F731">
        <v>2</v>
      </c>
      <c r="G731">
        <v>435.73</v>
      </c>
      <c r="H731">
        <v>0.09</v>
      </c>
      <c r="I731" t="s">
        <v>31</v>
      </c>
      <c r="J731">
        <v>5</v>
      </c>
      <c r="K731">
        <v>3.4</v>
      </c>
      <c r="L731">
        <v>793.03</v>
      </c>
    </row>
    <row r="732" spans="1:12">
      <c r="A732">
        <v>10731</v>
      </c>
      <c r="B732" t="s">
        <v>766</v>
      </c>
      <c r="C732">
        <v>1969</v>
      </c>
      <c r="D732" t="s">
        <v>55</v>
      </c>
      <c r="E732" t="s">
        <v>14</v>
      </c>
      <c r="F732">
        <v>4</v>
      </c>
      <c r="G732">
        <v>391.04</v>
      </c>
      <c r="H732">
        <v>0.18</v>
      </c>
      <c r="I732" t="s">
        <v>28</v>
      </c>
      <c r="J732">
        <v>10</v>
      </c>
      <c r="K732">
        <v>2.9</v>
      </c>
      <c r="L732">
        <v>1282.6099999999999</v>
      </c>
    </row>
    <row r="733" spans="1:12">
      <c r="A733">
        <v>10732</v>
      </c>
      <c r="B733" t="s">
        <v>767</v>
      </c>
      <c r="C733">
        <v>1601</v>
      </c>
      <c r="D733" t="s">
        <v>27</v>
      </c>
      <c r="E733" t="s">
        <v>43</v>
      </c>
      <c r="F733">
        <v>2</v>
      </c>
      <c r="G733">
        <v>319.05</v>
      </c>
      <c r="H733">
        <v>0.05</v>
      </c>
      <c r="I733" t="s">
        <v>31</v>
      </c>
      <c r="J733">
        <v>2</v>
      </c>
      <c r="K733">
        <v>2.1</v>
      </c>
      <c r="L733">
        <v>606.20000000000005</v>
      </c>
    </row>
    <row r="734" spans="1:12">
      <c r="A734">
        <v>10733</v>
      </c>
      <c r="B734" t="s">
        <v>768</v>
      </c>
      <c r="C734">
        <v>1417</v>
      </c>
      <c r="D734" t="s">
        <v>13</v>
      </c>
      <c r="E734" t="s">
        <v>30</v>
      </c>
      <c r="F734">
        <v>5</v>
      </c>
      <c r="G734">
        <v>413.85</v>
      </c>
      <c r="H734">
        <v>0.24</v>
      </c>
      <c r="I734" t="s">
        <v>28</v>
      </c>
      <c r="J734">
        <v>7</v>
      </c>
      <c r="K734">
        <v>4</v>
      </c>
      <c r="L734">
        <v>1572.63</v>
      </c>
    </row>
    <row r="735" spans="1:12">
      <c r="A735">
        <v>10734</v>
      </c>
      <c r="B735" t="s">
        <v>769</v>
      </c>
      <c r="C735">
        <v>1114</v>
      </c>
      <c r="D735" t="s">
        <v>27</v>
      </c>
      <c r="E735" t="s">
        <v>30</v>
      </c>
      <c r="F735">
        <v>2</v>
      </c>
      <c r="G735">
        <v>277.95</v>
      </c>
      <c r="H735">
        <v>0.12</v>
      </c>
      <c r="I735" t="s">
        <v>15</v>
      </c>
      <c r="J735">
        <v>10</v>
      </c>
      <c r="K735">
        <v>3.8</v>
      </c>
      <c r="L735">
        <v>489.19</v>
      </c>
    </row>
    <row r="736" spans="1:12">
      <c r="A736">
        <v>10735</v>
      </c>
      <c r="B736" t="s">
        <v>770</v>
      </c>
      <c r="C736">
        <v>1616</v>
      </c>
      <c r="D736" t="s">
        <v>34</v>
      </c>
      <c r="E736" t="s">
        <v>30</v>
      </c>
      <c r="F736">
        <v>2</v>
      </c>
      <c r="G736">
        <v>156.38</v>
      </c>
      <c r="H736">
        <v>0.09</v>
      </c>
      <c r="I736" t="s">
        <v>28</v>
      </c>
      <c r="J736">
        <v>3</v>
      </c>
      <c r="K736">
        <v>4.5999999999999996</v>
      </c>
      <c r="L736">
        <v>284.61</v>
      </c>
    </row>
    <row r="737" spans="1:12">
      <c r="A737">
        <v>10736</v>
      </c>
      <c r="B737" t="s">
        <v>771</v>
      </c>
      <c r="C737">
        <v>1902</v>
      </c>
      <c r="D737" t="s">
        <v>34</v>
      </c>
      <c r="E737" t="s">
        <v>43</v>
      </c>
      <c r="F737">
        <v>2</v>
      </c>
      <c r="G737">
        <v>15.83</v>
      </c>
      <c r="H737">
        <v>0.33</v>
      </c>
      <c r="I737" t="s">
        <v>31</v>
      </c>
      <c r="J737">
        <v>10</v>
      </c>
      <c r="K737">
        <v>3.5</v>
      </c>
      <c r="L737">
        <v>21.21</v>
      </c>
    </row>
    <row r="738" spans="1:12">
      <c r="A738">
        <v>10737</v>
      </c>
      <c r="B738" t="s">
        <v>772</v>
      </c>
      <c r="C738">
        <v>1195</v>
      </c>
      <c r="D738" t="s">
        <v>27</v>
      </c>
      <c r="E738" t="s">
        <v>43</v>
      </c>
      <c r="F738">
        <v>3</v>
      </c>
      <c r="G738">
        <v>342.58</v>
      </c>
      <c r="H738">
        <v>0.27</v>
      </c>
      <c r="I738" t="s">
        <v>31</v>
      </c>
      <c r="J738">
        <v>11</v>
      </c>
      <c r="K738">
        <v>2.6</v>
      </c>
      <c r="L738">
        <v>750.25</v>
      </c>
    </row>
    <row r="739" spans="1:12">
      <c r="A739">
        <v>10738</v>
      </c>
      <c r="B739" t="s">
        <v>773</v>
      </c>
      <c r="C739">
        <v>1825</v>
      </c>
      <c r="D739" t="s">
        <v>27</v>
      </c>
      <c r="E739" t="s">
        <v>43</v>
      </c>
      <c r="F739">
        <v>4</v>
      </c>
      <c r="G739">
        <v>360.53</v>
      </c>
      <c r="H739">
        <v>0.28000000000000003</v>
      </c>
      <c r="I739" t="s">
        <v>31</v>
      </c>
      <c r="J739">
        <v>8</v>
      </c>
      <c r="K739">
        <v>3.9</v>
      </c>
      <c r="L739">
        <v>1038.33</v>
      </c>
    </row>
    <row r="740" spans="1:12">
      <c r="A740">
        <v>10739</v>
      </c>
      <c r="B740" t="s">
        <v>774</v>
      </c>
      <c r="C740">
        <v>1500</v>
      </c>
      <c r="D740" t="s">
        <v>34</v>
      </c>
      <c r="E740" t="s">
        <v>14</v>
      </c>
      <c r="F740">
        <v>1</v>
      </c>
      <c r="G740">
        <v>583.65</v>
      </c>
      <c r="H740">
        <v>0.22</v>
      </c>
      <c r="I740" t="s">
        <v>15</v>
      </c>
      <c r="J740">
        <v>6</v>
      </c>
      <c r="K740">
        <v>3.5</v>
      </c>
      <c r="L740">
        <v>455.25</v>
      </c>
    </row>
    <row r="741" spans="1:12">
      <c r="A741">
        <v>10740</v>
      </c>
      <c r="B741" t="s">
        <v>775</v>
      </c>
      <c r="C741">
        <v>1625</v>
      </c>
      <c r="D741" t="s">
        <v>27</v>
      </c>
      <c r="E741" t="s">
        <v>30</v>
      </c>
      <c r="F741">
        <v>4</v>
      </c>
      <c r="G741">
        <v>226.46</v>
      </c>
      <c r="H741">
        <v>0.28999999999999998</v>
      </c>
      <c r="I741" t="s">
        <v>28</v>
      </c>
      <c r="J741">
        <v>11</v>
      </c>
      <c r="K741">
        <v>3.5</v>
      </c>
      <c r="L741">
        <v>643.15</v>
      </c>
    </row>
    <row r="742" spans="1:12">
      <c r="A742">
        <v>10741</v>
      </c>
      <c r="B742" t="s">
        <v>776</v>
      </c>
      <c r="C742">
        <v>1492</v>
      </c>
      <c r="D742" t="s">
        <v>27</v>
      </c>
      <c r="E742" t="s">
        <v>32</v>
      </c>
      <c r="F742">
        <v>5</v>
      </c>
      <c r="G742">
        <v>245.57</v>
      </c>
      <c r="H742">
        <v>0.27</v>
      </c>
      <c r="I742" t="s">
        <v>28</v>
      </c>
      <c r="J742">
        <v>4</v>
      </c>
      <c r="K742">
        <v>4.4000000000000004</v>
      </c>
      <c r="L742">
        <v>896.33</v>
      </c>
    </row>
    <row r="743" spans="1:12">
      <c r="A743">
        <v>10742</v>
      </c>
      <c r="B743" t="s">
        <v>777</v>
      </c>
      <c r="C743">
        <v>1074</v>
      </c>
      <c r="D743" t="s">
        <v>55</v>
      </c>
      <c r="E743" t="s">
        <v>32</v>
      </c>
      <c r="F743">
        <v>3</v>
      </c>
      <c r="G743">
        <v>133.05000000000001</v>
      </c>
      <c r="H743">
        <v>0.21</v>
      </c>
      <c r="I743" t="s">
        <v>31</v>
      </c>
      <c r="J743">
        <v>2</v>
      </c>
      <c r="K743">
        <v>4.5999999999999996</v>
      </c>
      <c r="L743">
        <v>315.33</v>
      </c>
    </row>
    <row r="744" spans="1:12">
      <c r="A744">
        <v>10743</v>
      </c>
      <c r="B744" t="s">
        <v>778</v>
      </c>
      <c r="C744">
        <v>1412</v>
      </c>
      <c r="D744" t="s">
        <v>55</v>
      </c>
      <c r="E744" t="s">
        <v>30</v>
      </c>
      <c r="F744">
        <v>6</v>
      </c>
      <c r="G744">
        <v>56.26</v>
      </c>
      <c r="H744">
        <v>0.34</v>
      </c>
      <c r="I744" t="s">
        <v>31</v>
      </c>
      <c r="J744">
        <v>7</v>
      </c>
      <c r="K744">
        <v>1.7</v>
      </c>
      <c r="L744">
        <v>222.79</v>
      </c>
    </row>
    <row r="745" spans="1:12">
      <c r="A745">
        <v>10744</v>
      </c>
      <c r="B745" t="s">
        <v>779</v>
      </c>
      <c r="C745">
        <v>1375</v>
      </c>
      <c r="D745" t="s">
        <v>55</v>
      </c>
      <c r="E745" t="s">
        <v>32</v>
      </c>
      <c r="F745">
        <v>3</v>
      </c>
      <c r="G745">
        <v>467.09</v>
      </c>
      <c r="H745">
        <v>7.0000000000000007E-2</v>
      </c>
      <c r="I745" t="s">
        <v>28</v>
      </c>
      <c r="J745">
        <v>1</v>
      </c>
      <c r="K745">
        <v>2.2999999999999998</v>
      </c>
      <c r="L745">
        <v>1303.18</v>
      </c>
    </row>
    <row r="746" spans="1:12">
      <c r="A746">
        <v>10745</v>
      </c>
      <c r="B746" t="s">
        <v>780</v>
      </c>
      <c r="C746">
        <v>1419</v>
      </c>
      <c r="D746" t="s">
        <v>34</v>
      </c>
      <c r="E746" t="s">
        <v>14</v>
      </c>
      <c r="F746">
        <v>7</v>
      </c>
      <c r="G746">
        <v>161.06</v>
      </c>
      <c r="H746">
        <v>0.33</v>
      </c>
      <c r="I746" t="s">
        <v>28</v>
      </c>
      <c r="J746">
        <v>7</v>
      </c>
      <c r="K746">
        <v>3.6</v>
      </c>
      <c r="L746">
        <v>755.37</v>
      </c>
    </row>
    <row r="747" spans="1:12">
      <c r="A747">
        <v>10746</v>
      </c>
      <c r="B747" t="s">
        <v>781</v>
      </c>
      <c r="C747">
        <v>1728</v>
      </c>
      <c r="D747" t="s">
        <v>34</v>
      </c>
      <c r="E747" t="s">
        <v>14</v>
      </c>
      <c r="F747">
        <v>2</v>
      </c>
      <c r="G747">
        <v>371.21</v>
      </c>
      <c r="H747">
        <v>0.14000000000000001</v>
      </c>
      <c r="I747" t="s">
        <v>31</v>
      </c>
      <c r="J747">
        <v>10</v>
      </c>
      <c r="K747">
        <v>3.2</v>
      </c>
      <c r="L747">
        <v>638.48</v>
      </c>
    </row>
    <row r="748" spans="1:12">
      <c r="A748">
        <v>10747</v>
      </c>
      <c r="B748" t="s">
        <v>782</v>
      </c>
      <c r="C748">
        <v>1276</v>
      </c>
      <c r="D748" t="s">
        <v>55</v>
      </c>
      <c r="E748" t="s">
        <v>43</v>
      </c>
      <c r="F748">
        <v>2</v>
      </c>
      <c r="G748">
        <v>417.35</v>
      </c>
      <c r="H748">
        <v>0.18</v>
      </c>
      <c r="I748" t="s">
        <v>15</v>
      </c>
      <c r="J748">
        <v>10</v>
      </c>
      <c r="K748">
        <v>3.6</v>
      </c>
      <c r="L748">
        <v>684.45</v>
      </c>
    </row>
    <row r="749" spans="1:12">
      <c r="A749">
        <v>10748</v>
      </c>
      <c r="B749" t="s">
        <v>783</v>
      </c>
      <c r="C749">
        <v>1760</v>
      </c>
      <c r="D749" t="s">
        <v>27</v>
      </c>
      <c r="E749" t="s">
        <v>43</v>
      </c>
      <c r="F749">
        <v>5</v>
      </c>
      <c r="G749">
        <v>290.67</v>
      </c>
      <c r="H749">
        <v>0.04</v>
      </c>
      <c r="I749" t="s">
        <v>31</v>
      </c>
      <c r="J749">
        <v>7</v>
      </c>
      <c r="K749">
        <v>2.7</v>
      </c>
      <c r="L749">
        <v>1395.22</v>
      </c>
    </row>
    <row r="750" spans="1:12">
      <c r="A750">
        <v>10749</v>
      </c>
      <c r="B750" t="s">
        <v>784</v>
      </c>
      <c r="C750">
        <v>1675</v>
      </c>
      <c r="D750" t="s">
        <v>34</v>
      </c>
      <c r="E750" t="s">
        <v>43</v>
      </c>
      <c r="F750">
        <v>6</v>
      </c>
      <c r="G750">
        <v>527.66999999999996</v>
      </c>
      <c r="H750">
        <v>0.19</v>
      </c>
      <c r="I750" t="s">
        <v>15</v>
      </c>
      <c r="J750">
        <v>10</v>
      </c>
      <c r="K750">
        <v>2.6</v>
      </c>
      <c r="L750">
        <v>2564.48</v>
      </c>
    </row>
    <row r="751" spans="1:12">
      <c r="A751">
        <v>10750</v>
      </c>
      <c r="B751" t="s">
        <v>785</v>
      </c>
      <c r="C751">
        <v>1393</v>
      </c>
      <c r="D751" t="s">
        <v>55</v>
      </c>
      <c r="E751" t="s">
        <v>43</v>
      </c>
      <c r="F751">
        <v>7</v>
      </c>
      <c r="G751">
        <v>274.62</v>
      </c>
      <c r="H751">
        <v>0.21</v>
      </c>
      <c r="I751" t="s">
        <v>31</v>
      </c>
      <c r="J751">
        <v>3</v>
      </c>
      <c r="K751">
        <v>1.5</v>
      </c>
      <c r="L751">
        <v>1518.65</v>
      </c>
    </row>
    <row r="752" spans="1:12">
      <c r="A752">
        <v>10751</v>
      </c>
      <c r="B752" t="s">
        <v>786</v>
      </c>
      <c r="C752">
        <v>1868</v>
      </c>
      <c r="D752" t="s">
        <v>55</v>
      </c>
      <c r="E752" t="s">
        <v>43</v>
      </c>
      <c r="F752">
        <v>3</v>
      </c>
      <c r="G752">
        <v>181.67</v>
      </c>
      <c r="H752">
        <v>0.35</v>
      </c>
      <c r="I752" t="s">
        <v>28</v>
      </c>
      <c r="J752">
        <v>4</v>
      </c>
      <c r="K752">
        <v>3.5</v>
      </c>
      <c r="L752">
        <v>354.26</v>
      </c>
    </row>
    <row r="753" spans="1:12">
      <c r="A753">
        <v>10752</v>
      </c>
      <c r="B753" t="s">
        <v>787</v>
      </c>
      <c r="C753">
        <v>1456</v>
      </c>
      <c r="D753" t="s">
        <v>27</v>
      </c>
      <c r="E753" t="s">
        <v>32</v>
      </c>
      <c r="F753">
        <v>6</v>
      </c>
      <c r="G753">
        <v>539.16999999999996</v>
      </c>
      <c r="H753">
        <v>0.34</v>
      </c>
      <c r="I753" t="s">
        <v>28</v>
      </c>
      <c r="J753">
        <v>4</v>
      </c>
      <c r="K753">
        <v>1.7</v>
      </c>
      <c r="L753">
        <v>2135.11</v>
      </c>
    </row>
    <row r="754" spans="1:12">
      <c r="A754">
        <v>10753</v>
      </c>
      <c r="B754" t="s">
        <v>788</v>
      </c>
      <c r="C754">
        <v>1919</v>
      </c>
      <c r="D754" t="s">
        <v>34</v>
      </c>
      <c r="E754" t="s">
        <v>32</v>
      </c>
      <c r="F754">
        <v>1</v>
      </c>
      <c r="G754">
        <v>519.02</v>
      </c>
      <c r="H754">
        <v>0.34</v>
      </c>
      <c r="I754" t="s">
        <v>31</v>
      </c>
      <c r="J754">
        <v>4</v>
      </c>
      <c r="K754">
        <v>3.7</v>
      </c>
      <c r="L754">
        <v>342.55</v>
      </c>
    </row>
    <row r="755" spans="1:12">
      <c r="A755">
        <v>10754</v>
      </c>
      <c r="B755" t="s">
        <v>789</v>
      </c>
      <c r="C755">
        <v>1191</v>
      </c>
      <c r="D755" t="s">
        <v>55</v>
      </c>
      <c r="E755" t="s">
        <v>43</v>
      </c>
      <c r="F755">
        <v>4</v>
      </c>
      <c r="G755">
        <v>110.96</v>
      </c>
      <c r="H755">
        <v>0.12</v>
      </c>
      <c r="I755" t="s">
        <v>31</v>
      </c>
      <c r="J755">
        <v>9</v>
      </c>
      <c r="K755">
        <v>4.9000000000000004</v>
      </c>
      <c r="L755">
        <v>390.58</v>
      </c>
    </row>
    <row r="756" spans="1:12">
      <c r="A756">
        <v>10755</v>
      </c>
      <c r="B756" t="s">
        <v>790</v>
      </c>
      <c r="C756">
        <v>1738</v>
      </c>
      <c r="D756" t="s">
        <v>27</v>
      </c>
      <c r="E756" t="s">
        <v>14</v>
      </c>
      <c r="F756">
        <v>3</v>
      </c>
      <c r="G756">
        <v>30.19</v>
      </c>
      <c r="H756">
        <v>0.35</v>
      </c>
      <c r="I756" t="s">
        <v>31</v>
      </c>
      <c r="J756">
        <v>6</v>
      </c>
      <c r="K756">
        <v>2</v>
      </c>
      <c r="L756">
        <v>58.87</v>
      </c>
    </row>
    <row r="757" spans="1:12">
      <c r="A757">
        <v>10756</v>
      </c>
      <c r="B757" t="s">
        <v>791</v>
      </c>
      <c r="C757">
        <v>1688</v>
      </c>
      <c r="D757" t="s">
        <v>55</v>
      </c>
      <c r="E757" t="s">
        <v>32</v>
      </c>
      <c r="F757">
        <v>6</v>
      </c>
      <c r="G757">
        <v>67.64</v>
      </c>
      <c r="H757">
        <v>0.16</v>
      </c>
      <c r="I757" t="s">
        <v>31</v>
      </c>
      <c r="J757">
        <v>10</v>
      </c>
      <c r="K757">
        <v>1.6</v>
      </c>
      <c r="L757">
        <v>340.91</v>
      </c>
    </row>
    <row r="758" spans="1:12">
      <c r="A758">
        <v>10757</v>
      </c>
      <c r="B758" t="s">
        <v>792</v>
      </c>
      <c r="C758">
        <v>1098</v>
      </c>
      <c r="D758" t="s">
        <v>55</v>
      </c>
      <c r="E758" t="s">
        <v>14</v>
      </c>
      <c r="F758">
        <v>1</v>
      </c>
      <c r="G758">
        <v>182.63</v>
      </c>
      <c r="H758">
        <v>0.3</v>
      </c>
      <c r="I758" t="s">
        <v>15</v>
      </c>
      <c r="J758">
        <v>9</v>
      </c>
      <c r="K758">
        <v>1.1000000000000001</v>
      </c>
      <c r="L758">
        <v>127.84</v>
      </c>
    </row>
    <row r="759" spans="1:12">
      <c r="A759">
        <v>10758</v>
      </c>
      <c r="B759" t="s">
        <v>793</v>
      </c>
      <c r="C759">
        <v>1547</v>
      </c>
      <c r="D759" t="s">
        <v>55</v>
      </c>
      <c r="E759" t="s">
        <v>14</v>
      </c>
      <c r="F759">
        <v>1</v>
      </c>
      <c r="G759">
        <v>583.77</v>
      </c>
      <c r="H759">
        <v>0.08</v>
      </c>
      <c r="I759" t="s">
        <v>31</v>
      </c>
      <c r="J759">
        <v>4</v>
      </c>
      <c r="K759">
        <v>2.5</v>
      </c>
      <c r="L759">
        <v>537.07000000000005</v>
      </c>
    </row>
    <row r="760" spans="1:12">
      <c r="A760">
        <v>10759</v>
      </c>
      <c r="B760" t="s">
        <v>794</v>
      </c>
      <c r="C760">
        <v>1977</v>
      </c>
      <c r="D760" t="s">
        <v>27</v>
      </c>
      <c r="E760" t="s">
        <v>30</v>
      </c>
      <c r="F760">
        <v>7</v>
      </c>
      <c r="G760">
        <v>341.73</v>
      </c>
      <c r="H760">
        <v>0.18</v>
      </c>
      <c r="I760" t="s">
        <v>28</v>
      </c>
      <c r="J760">
        <v>7</v>
      </c>
      <c r="K760">
        <v>1.9</v>
      </c>
      <c r="L760">
        <v>1961.53</v>
      </c>
    </row>
    <row r="761" spans="1:12">
      <c r="A761">
        <v>10760</v>
      </c>
      <c r="B761" t="s">
        <v>795</v>
      </c>
      <c r="C761">
        <v>1998</v>
      </c>
      <c r="D761" t="s">
        <v>34</v>
      </c>
      <c r="E761" t="s">
        <v>30</v>
      </c>
      <c r="F761">
        <v>7</v>
      </c>
      <c r="G761">
        <v>233.36</v>
      </c>
      <c r="H761">
        <v>0.34</v>
      </c>
      <c r="I761" t="s">
        <v>28</v>
      </c>
      <c r="J761">
        <v>10</v>
      </c>
      <c r="K761">
        <v>3</v>
      </c>
      <c r="L761">
        <v>1078.1199999999999</v>
      </c>
    </row>
    <row r="762" spans="1:12">
      <c r="A762">
        <v>10761</v>
      </c>
      <c r="B762" t="s">
        <v>796</v>
      </c>
      <c r="C762">
        <v>1095</v>
      </c>
      <c r="D762" t="s">
        <v>55</v>
      </c>
      <c r="E762" t="s">
        <v>43</v>
      </c>
      <c r="F762">
        <v>4</v>
      </c>
      <c r="G762">
        <v>534.9</v>
      </c>
      <c r="H762">
        <v>0.33</v>
      </c>
      <c r="I762" t="s">
        <v>31</v>
      </c>
      <c r="J762">
        <v>9</v>
      </c>
      <c r="K762">
        <v>3.1</v>
      </c>
      <c r="L762">
        <v>1433.53</v>
      </c>
    </row>
    <row r="763" spans="1:12">
      <c r="A763">
        <v>10762</v>
      </c>
      <c r="B763" t="s">
        <v>797</v>
      </c>
      <c r="C763">
        <v>1663</v>
      </c>
      <c r="D763" t="s">
        <v>27</v>
      </c>
      <c r="E763" t="s">
        <v>14</v>
      </c>
      <c r="F763">
        <v>1</v>
      </c>
      <c r="G763">
        <v>280.08</v>
      </c>
      <c r="H763">
        <v>0.24</v>
      </c>
      <c r="I763" t="s">
        <v>15</v>
      </c>
      <c r="J763">
        <v>10</v>
      </c>
      <c r="K763">
        <v>2.4</v>
      </c>
      <c r="L763">
        <v>212.86</v>
      </c>
    </row>
    <row r="764" spans="1:12">
      <c r="A764">
        <v>10763</v>
      </c>
      <c r="B764" t="s">
        <v>798</v>
      </c>
      <c r="C764">
        <v>1662</v>
      </c>
      <c r="D764" t="s">
        <v>55</v>
      </c>
      <c r="E764" t="s">
        <v>32</v>
      </c>
      <c r="F764">
        <v>5</v>
      </c>
      <c r="G764">
        <v>199.41</v>
      </c>
      <c r="H764">
        <v>0.28000000000000003</v>
      </c>
      <c r="I764" t="s">
        <v>28</v>
      </c>
      <c r="J764">
        <v>3</v>
      </c>
      <c r="K764">
        <v>4</v>
      </c>
      <c r="L764">
        <v>717.88</v>
      </c>
    </row>
    <row r="765" spans="1:12">
      <c r="A765">
        <v>10764</v>
      </c>
      <c r="B765" t="s">
        <v>799</v>
      </c>
      <c r="C765">
        <v>1189</v>
      </c>
      <c r="D765" t="s">
        <v>34</v>
      </c>
      <c r="E765" t="s">
        <v>30</v>
      </c>
      <c r="F765">
        <v>1</v>
      </c>
      <c r="G765">
        <v>565.61</v>
      </c>
      <c r="H765">
        <v>0.06</v>
      </c>
      <c r="I765" t="s">
        <v>15</v>
      </c>
      <c r="J765">
        <v>3</v>
      </c>
      <c r="K765">
        <v>4.5999999999999996</v>
      </c>
      <c r="L765">
        <v>531.66999999999996</v>
      </c>
    </row>
    <row r="766" spans="1:12">
      <c r="A766">
        <v>10765</v>
      </c>
      <c r="B766" t="s">
        <v>800</v>
      </c>
      <c r="C766">
        <v>1735</v>
      </c>
      <c r="D766" t="s">
        <v>34</v>
      </c>
      <c r="E766" t="s">
        <v>30</v>
      </c>
      <c r="F766">
        <v>6</v>
      </c>
      <c r="G766">
        <v>511.97</v>
      </c>
      <c r="H766">
        <v>0.25</v>
      </c>
      <c r="I766" t="s">
        <v>15</v>
      </c>
      <c r="J766">
        <v>6</v>
      </c>
      <c r="K766">
        <v>1.8</v>
      </c>
      <c r="L766">
        <v>2303.87</v>
      </c>
    </row>
    <row r="767" spans="1:12">
      <c r="A767">
        <v>10766</v>
      </c>
      <c r="B767" t="s">
        <v>801</v>
      </c>
      <c r="C767">
        <v>1036</v>
      </c>
      <c r="D767" t="s">
        <v>13</v>
      </c>
      <c r="E767" t="s">
        <v>14</v>
      </c>
      <c r="F767">
        <v>7</v>
      </c>
      <c r="G767">
        <v>508.55</v>
      </c>
      <c r="H767">
        <v>0.22</v>
      </c>
      <c r="I767" t="s">
        <v>31</v>
      </c>
      <c r="J767">
        <v>8</v>
      </c>
      <c r="K767">
        <v>4.3</v>
      </c>
      <c r="L767">
        <v>2776.68</v>
      </c>
    </row>
    <row r="768" spans="1:12">
      <c r="A768">
        <v>10767</v>
      </c>
      <c r="B768" t="s">
        <v>802</v>
      </c>
      <c r="C768">
        <v>1779</v>
      </c>
      <c r="D768" t="s">
        <v>55</v>
      </c>
      <c r="E768" t="s">
        <v>30</v>
      </c>
      <c r="F768">
        <v>5</v>
      </c>
      <c r="G768">
        <v>314.69</v>
      </c>
      <c r="H768">
        <v>0.03</v>
      </c>
      <c r="I768" t="s">
        <v>28</v>
      </c>
      <c r="J768">
        <v>1</v>
      </c>
      <c r="K768">
        <v>1.5</v>
      </c>
      <c r="L768">
        <v>1526.25</v>
      </c>
    </row>
    <row r="769" spans="1:12">
      <c r="A769">
        <v>10768</v>
      </c>
      <c r="B769" t="s">
        <v>803</v>
      </c>
      <c r="C769">
        <v>1368</v>
      </c>
      <c r="D769" t="s">
        <v>13</v>
      </c>
      <c r="E769" t="s">
        <v>30</v>
      </c>
      <c r="F769">
        <v>7</v>
      </c>
      <c r="G769">
        <v>476.82</v>
      </c>
      <c r="H769">
        <v>0.04</v>
      </c>
      <c r="I769" t="s">
        <v>28</v>
      </c>
      <c r="J769">
        <v>4</v>
      </c>
      <c r="K769">
        <v>1.9</v>
      </c>
      <c r="L769">
        <v>3204.23</v>
      </c>
    </row>
    <row r="770" spans="1:12">
      <c r="A770">
        <v>10769</v>
      </c>
      <c r="B770" t="s">
        <v>804</v>
      </c>
      <c r="C770">
        <v>1694</v>
      </c>
      <c r="D770" t="s">
        <v>55</v>
      </c>
      <c r="E770" t="s">
        <v>32</v>
      </c>
      <c r="F770">
        <v>7</v>
      </c>
      <c r="G770">
        <v>119.92</v>
      </c>
      <c r="H770">
        <v>0.04</v>
      </c>
      <c r="I770" t="s">
        <v>28</v>
      </c>
      <c r="J770">
        <v>8</v>
      </c>
      <c r="K770">
        <v>3.2</v>
      </c>
      <c r="L770">
        <v>805.86</v>
      </c>
    </row>
    <row r="771" spans="1:12">
      <c r="A771">
        <v>10770</v>
      </c>
      <c r="B771" t="s">
        <v>805</v>
      </c>
      <c r="C771">
        <v>1524</v>
      </c>
      <c r="D771" t="s">
        <v>27</v>
      </c>
      <c r="E771" t="s">
        <v>14</v>
      </c>
      <c r="F771">
        <v>7</v>
      </c>
      <c r="G771">
        <v>350.34</v>
      </c>
      <c r="H771">
        <v>0.25</v>
      </c>
      <c r="I771" t="s">
        <v>28</v>
      </c>
      <c r="J771">
        <v>6</v>
      </c>
      <c r="K771">
        <v>2.2000000000000002</v>
      </c>
      <c r="L771">
        <v>1839.28</v>
      </c>
    </row>
    <row r="772" spans="1:12">
      <c r="A772">
        <v>10771</v>
      </c>
      <c r="B772" t="s">
        <v>806</v>
      </c>
      <c r="C772">
        <v>1278</v>
      </c>
      <c r="D772" t="s">
        <v>55</v>
      </c>
      <c r="E772" t="s">
        <v>30</v>
      </c>
      <c r="F772">
        <v>1</v>
      </c>
      <c r="G772">
        <v>590.54999999999995</v>
      </c>
      <c r="H772">
        <v>0.05</v>
      </c>
      <c r="I772" t="s">
        <v>31</v>
      </c>
      <c r="J772">
        <v>2</v>
      </c>
      <c r="K772">
        <v>1.2</v>
      </c>
      <c r="L772">
        <v>561.02</v>
      </c>
    </row>
    <row r="773" spans="1:12">
      <c r="A773">
        <v>10772</v>
      </c>
      <c r="B773" t="s">
        <v>807</v>
      </c>
      <c r="C773">
        <v>1216</v>
      </c>
      <c r="D773" t="s">
        <v>13</v>
      </c>
      <c r="E773" t="s">
        <v>14</v>
      </c>
      <c r="F773">
        <v>2</v>
      </c>
      <c r="G773">
        <v>185.21</v>
      </c>
      <c r="H773">
        <v>0.16</v>
      </c>
      <c r="I773" t="s">
        <v>28</v>
      </c>
      <c r="J773">
        <v>8</v>
      </c>
      <c r="K773">
        <v>2.2000000000000002</v>
      </c>
      <c r="L773">
        <v>311.14999999999998</v>
      </c>
    </row>
    <row r="774" spans="1:12">
      <c r="A774">
        <v>10773</v>
      </c>
      <c r="B774" t="s">
        <v>808</v>
      </c>
      <c r="C774">
        <v>1866</v>
      </c>
      <c r="D774" t="s">
        <v>27</v>
      </c>
      <c r="E774" t="s">
        <v>30</v>
      </c>
      <c r="F774">
        <v>1</v>
      </c>
      <c r="G774">
        <v>479.7</v>
      </c>
      <c r="H774">
        <v>0.12</v>
      </c>
      <c r="I774" t="s">
        <v>31</v>
      </c>
      <c r="J774">
        <v>1</v>
      </c>
      <c r="K774">
        <v>4.5999999999999996</v>
      </c>
      <c r="L774">
        <v>422.14</v>
      </c>
    </row>
    <row r="775" spans="1:12">
      <c r="A775">
        <v>10774</v>
      </c>
      <c r="B775" t="s">
        <v>809</v>
      </c>
      <c r="C775">
        <v>1872</v>
      </c>
      <c r="D775" t="s">
        <v>27</v>
      </c>
      <c r="E775" t="s">
        <v>32</v>
      </c>
      <c r="F775">
        <v>7</v>
      </c>
      <c r="G775">
        <v>301.93</v>
      </c>
      <c r="H775">
        <v>0.19</v>
      </c>
      <c r="I775" t="s">
        <v>28</v>
      </c>
      <c r="J775">
        <v>1</v>
      </c>
      <c r="K775">
        <v>1.7</v>
      </c>
      <c r="L775">
        <v>1711.94</v>
      </c>
    </row>
    <row r="776" spans="1:12">
      <c r="A776">
        <v>10775</v>
      </c>
      <c r="B776" t="s">
        <v>810</v>
      </c>
      <c r="C776">
        <v>1797</v>
      </c>
      <c r="D776" t="s">
        <v>34</v>
      </c>
      <c r="E776" t="s">
        <v>14</v>
      </c>
      <c r="F776">
        <v>5</v>
      </c>
      <c r="G776">
        <v>38.29</v>
      </c>
      <c r="H776">
        <v>0.25</v>
      </c>
      <c r="I776" t="s">
        <v>28</v>
      </c>
      <c r="J776">
        <v>7</v>
      </c>
      <c r="K776">
        <v>4.0999999999999996</v>
      </c>
      <c r="L776">
        <v>143.59</v>
      </c>
    </row>
    <row r="777" spans="1:12">
      <c r="A777">
        <v>10776</v>
      </c>
      <c r="B777" t="s">
        <v>811</v>
      </c>
      <c r="C777">
        <v>1272</v>
      </c>
      <c r="D777" t="s">
        <v>27</v>
      </c>
      <c r="E777" t="s">
        <v>30</v>
      </c>
      <c r="F777">
        <v>1</v>
      </c>
      <c r="G777">
        <v>461.37</v>
      </c>
      <c r="H777">
        <v>0.24</v>
      </c>
      <c r="I777" t="s">
        <v>31</v>
      </c>
      <c r="J777">
        <v>10</v>
      </c>
      <c r="K777">
        <v>3.9</v>
      </c>
      <c r="L777">
        <v>350.64</v>
      </c>
    </row>
    <row r="778" spans="1:12">
      <c r="A778">
        <v>10777</v>
      </c>
      <c r="B778" t="s">
        <v>812</v>
      </c>
      <c r="C778">
        <v>1880</v>
      </c>
      <c r="D778" t="s">
        <v>55</v>
      </c>
      <c r="E778" t="s">
        <v>32</v>
      </c>
      <c r="F778">
        <v>7</v>
      </c>
      <c r="G778">
        <v>113.61</v>
      </c>
      <c r="H778">
        <v>0.18</v>
      </c>
      <c r="I778" t="s">
        <v>15</v>
      </c>
      <c r="J778">
        <v>3</v>
      </c>
      <c r="K778">
        <v>1.4</v>
      </c>
      <c r="L778">
        <v>652.12</v>
      </c>
    </row>
    <row r="779" spans="1:12">
      <c r="A779">
        <v>10778</v>
      </c>
      <c r="B779" t="s">
        <v>813</v>
      </c>
      <c r="C779">
        <v>1061</v>
      </c>
      <c r="D779" t="s">
        <v>34</v>
      </c>
      <c r="E779" t="s">
        <v>30</v>
      </c>
      <c r="F779">
        <v>7</v>
      </c>
      <c r="G779">
        <v>384.41</v>
      </c>
      <c r="H779">
        <v>0.16</v>
      </c>
      <c r="I779" t="s">
        <v>31</v>
      </c>
      <c r="J779">
        <v>8</v>
      </c>
      <c r="K779">
        <v>2.2999999999999998</v>
      </c>
      <c r="L779">
        <v>2260.33</v>
      </c>
    </row>
    <row r="780" spans="1:12">
      <c r="A780">
        <v>10779</v>
      </c>
      <c r="B780" t="s">
        <v>814</v>
      </c>
      <c r="C780">
        <v>1595</v>
      </c>
      <c r="D780" t="s">
        <v>34</v>
      </c>
      <c r="E780" t="s">
        <v>14</v>
      </c>
      <c r="F780">
        <v>1</v>
      </c>
      <c r="G780">
        <v>65.11</v>
      </c>
      <c r="H780">
        <v>0.14000000000000001</v>
      </c>
      <c r="I780" t="s">
        <v>31</v>
      </c>
      <c r="J780">
        <v>9</v>
      </c>
      <c r="K780">
        <v>1.8</v>
      </c>
      <c r="L780">
        <v>55.99</v>
      </c>
    </row>
    <row r="781" spans="1:12">
      <c r="A781">
        <v>10780</v>
      </c>
      <c r="B781" t="s">
        <v>815</v>
      </c>
      <c r="C781">
        <v>1879</v>
      </c>
      <c r="D781" t="s">
        <v>34</v>
      </c>
      <c r="E781" t="s">
        <v>30</v>
      </c>
      <c r="F781">
        <v>1</v>
      </c>
      <c r="G781">
        <v>568.91999999999996</v>
      </c>
      <c r="H781">
        <v>0.3</v>
      </c>
      <c r="I781" t="s">
        <v>31</v>
      </c>
      <c r="J781">
        <v>8</v>
      </c>
      <c r="K781">
        <v>1.1000000000000001</v>
      </c>
      <c r="L781">
        <v>398.24</v>
      </c>
    </row>
    <row r="782" spans="1:12">
      <c r="A782">
        <v>10781</v>
      </c>
      <c r="B782" t="s">
        <v>816</v>
      </c>
      <c r="C782">
        <v>1728</v>
      </c>
      <c r="D782" t="s">
        <v>34</v>
      </c>
      <c r="E782" t="s">
        <v>14</v>
      </c>
      <c r="F782">
        <v>5</v>
      </c>
      <c r="G782">
        <v>185.66</v>
      </c>
      <c r="H782">
        <v>0.12</v>
      </c>
      <c r="I782" t="s">
        <v>31</v>
      </c>
      <c r="J782">
        <v>1</v>
      </c>
      <c r="K782">
        <v>1.7</v>
      </c>
      <c r="L782">
        <v>816.9</v>
      </c>
    </row>
    <row r="783" spans="1:12">
      <c r="A783">
        <v>10782</v>
      </c>
      <c r="B783" t="s">
        <v>817</v>
      </c>
      <c r="C783">
        <v>1341</v>
      </c>
      <c r="D783" t="s">
        <v>34</v>
      </c>
      <c r="E783" t="s">
        <v>14</v>
      </c>
      <c r="F783">
        <v>1</v>
      </c>
      <c r="G783">
        <v>147.47999999999999</v>
      </c>
      <c r="H783">
        <v>0.09</v>
      </c>
      <c r="I783" t="s">
        <v>15</v>
      </c>
      <c r="J783">
        <v>1</v>
      </c>
      <c r="K783">
        <v>1.8</v>
      </c>
      <c r="L783">
        <v>134.21</v>
      </c>
    </row>
    <row r="784" spans="1:12">
      <c r="A784">
        <v>10783</v>
      </c>
      <c r="B784" t="s">
        <v>818</v>
      </c>
      <c r="C784">
        <v>1396</v>
      </c>
      <c r="D784" t="s">
        <v>27</v>
      </c>
      <c r="E784" t="s">
        <v>30</v>
      </c>
      <c r="F784">
        <v>4</v>
      </c>
      <c r="G784">
        <v>90.54</v>
      </c>
      <c r="H784">
        <v>0.26</v>
      </c>
      <c r="I784" t="s">
        <v>28</v>
      </c>
      <c r="J784">
        <v>6</v>
      </c>
      <c r="K784">
        <v>1.7</v>
      </c>
      <c r="L784">
        <v>268</v>
      </c>
    </row>
    <row r="785" spans="1:12">
      <c r="A785">
        <v>10784</v>
      </c>
      <c r="B785" t="s">
        <v>819</v>
      </c>
      <c r="C785">
        <v>1698</v>
      </c>
      <c r="D785" t="s">
        <v>13</v>
      </c>
      <c r="E785" t="s">
        <v>32</v>
      </c>
      <c r="F785">
        <v>6</v>
      </c>
      <c r="G785">
        <v>568.41</v>
      </c>
      <c r="H785">
        <v>0.13</v>
      </c>
      <c r="I785" t="s">
        <v>15</v>
      </c>
      <c r="J785">
        <v>1</v>
      </c>
      <c r="K785">
        <v>1.4</v>
      </c>
      <c r="L785">
        <v>2967.1</v>
      </c>
    </row>
    <row r="786" spans="1:12">
      <c r="A786">
        <v>10785</v>
      </c>
      <c r="B786" t="s">
        <v>820</v>
      </c>
      <c r="C786">
        <v>1018</v>
      </c>
      <c r="D786" t="s">
        <v>27</v>
      </c>
      <c r="E786" t="s">
        <v>43</v>
      </c>
      <c r="F786">
        <v>4</v>
      </c>
      <c r="G786">
        <v>431.46</v>
      </c>
      <c r="H786">
        <v>0.3</v>
      </c>
      <c r="I786" t="s">
        <v>28</v>
      </c>
      <c r="J786">
        <v>8</v>
      </c>
      <c r="K786">
        <v>3.1</v>
      </c>
      <c r="L786">
        <v>1208.0899999999999</v>
      </c>
    </row>
    <row r="787" spans="1:12">
      <c r="A787">
        <v>10786</v>
      </c>
      <c r="B787" t="s">
        <v>821</v>
      </c>
      <c r="C787">
        <v>1176</v>
      </c>
      <c r="D787" t="s">
        <v>34</v>
      </c>
      <c r="E787" t="s">
        <v>32</v>
      </c>
      <c r="F787">
        <v>5</v>
      </c>
      <c r="G787">
        <v>448.87</v>
      </c>
      <c r="H787">
        <v>0.11</v>
      </c>
      <c r="I787" t="s">
        <v>15</v>
      </c>
      <c r="J787">
        <v>6</v>
      </c>
      <c r="K787">
        <v>2.2999999999999998</v>
      </c>
      <c r="L787">
        <v>1997.47</v>
      </c>
    </row>
    <row r="788" spans="1:12">
      <c r="A788">
        <v>10787</v>
      </c>
      <c r="B788" t="s">
        <v>822</v>
      </c>
      <c r="C788">
        <v>1611</v>
      </c>
      <c r="D788" t="s">
        <v>34</v>
      </c>
      <c r="E788" t="s">
        <v>32</v>
      </c>
      <c r="F788">
        <v>2</v>
      </c>
      <c r="G788">
        <v>307.14999999999998</v>
      </c>
      <c r="H788">
        <v>0.25</v>
      </c>
      <c r="I788" t="s">
        <v>28</v>
      </c>
      <c r="J788">
        <v>5</v>
      </c>
      <c r="K788">
        <v>4.5999999999999996</v>
      </c>
      <c r="L788">
        <v>460.72</v>
      </c>
    </row>
    <row r="789" spans="1:12">
      <c r="A789">
        <v>10788</v>
      </c>
      <c r="B789" t="s">
        <v>823</v>
      </c>
      <c r="C789">
        <v>1395</v>
      </c>
      <c r="D789" t="s">
        <v>55</v>
      </c>
      <c r="E789" t="s">
        <v>30</v>
      </c>
      <c r="F789">
        <v>4</v>
      </c>
      <c r="G789">
        <v>292.72000000000003</v>
      </c>
      <c r="H789">
        <v>0.02</v>
      </c>
      <c r="I789" t="s">
        <v>15</v>
      </c>
      <c r="J789">
        <v>6</v>
      </c>
      <c r="K789">
        <v>1.7</v>
      </c>
      <c r="L789">
        <v>1147.46</v>
      </c>
    </row>
    <row r="790" spans="1:12">
      <c r="A790">
        <v>10789</v>
      </c>
      <c r="B790" t="s">
        <v>824</v>
      </c>
      <c r="C790">
        <v>1444</v>
      </c>
      <c r="D790" t="s">
        <v>27</v>
      </c>
      <c r="E790" t="s">
        <v>32</v>
      </c>
      <c r="F790">
        <v>7</v>
      </c>
      <c r="G790">
        <v>79.36</v>
      </c>
      <c r="H790">
        <v>0.13</v>
      </c>
      <c r="I790" t="s">
        <v>15</v>
      </c>
      <c r="J790">
        <v>4</v>
      </c>
      <c r="K790">
        <v>3.4</v>
      </c>
      <c r="L790">
        <v>483.3</v>
      </c>
    </row>
    <row r="791" spans="1:12">
      <c r="A791">
        <v>10790</v>
      </c>
      <c r="B791" t="s">
        <v>825</v>
      </c>
      <c r="C791">
        <v>1232</v>
      </c>
      <c r="D791" t="s">
        <v>55</v>
      </c>
      <c r="E791" t="s">
        <v>32</v>
      </c>
      <c r="F791">
        <v>6</v>
      </c>
      <c r="G791">
        <v>342.51</v>
      </c>
      <c r="H791">
        <v>0.12</v>
      </c>
      <c r="I791" t="s">
        <v>28</v>
      </c>
      <c r="J791">
        <v>1</v>
      </c>
      <c r="K791">
        <v>4.5999999999999996</v>
      </c>
      <c r="L791">
        <v>1808.45</v>
      </c>
    </row>
    <row r="792" spans="1:12">
      <c r="A792">
        <v>10791</v>
      </c>
      <c r="B792" t="s">
        <v>826</v>
      </c>
      <c r="C792">
        <v>1914</v>
      </c>
      <c r="D792" t="s">
        <v>55</v>
      </c>
      <c r="E792" t="s">
        <v>43</v>
      </c>
      <c r="F792">
        <v>3</v>
      </c>
      <c r="G792">
        <v>159.44999999999999</v>
      </c>
      <c r="H792">
        <v>0.28999999999999998</v>
      </c>
      <c r="I792" t="s">
        <v>15</v>
      </c>
      <c r="J792">
        <v>7</v>
      </c>
      <c r="K792">
        <v>1.2</v>
      </c>
      <c r="L792">
        <v>339.63</v>
      </c>
    </row>
    <row r="793" spans="1:12">
      <c r="A793">
        <v>10792</v>
      </c>
      <c r="B793" t="s">
        <v>827</v>
      </c>
      <c r="C793">
        <v>1075</v>
      </c>
      <c r="D793" t="s">
        <v>55</v>
      </c>
      <c r="E793" t="s">
        <v>32</v>
      </c>
      <c r="F793">
        <v>6</v>
      </c>
      <c r="G793">
        <v>586.63</v>
      </c>
      <c r="H793">
        <v>0.34</v>
      </c>
      <c r="I793" t="s">
        <v>28</v>
      </c>
      <c r="J793">
        <v>10</v>
      </c>
      <c r="K793">
        <v>3.1</v>
      </c>
      <c r="L793">
        <v>2323.0500000000002</v>
      </c>
    </row>
    <row r="794" spans="1:12">
      <c r="A794">
        <v>10793</v>
      </c>
      <c r="B794" t="s">
        <v>828</v>
      </c>
      <c r="C794">
        <v>1264</v>
      </c>
      <c r="D794" t="s">
        <v>34</v>
      </c>
      <c r="E794" t="s">
        <v>43</v>
      </c>
      <c r="F794">
        <v>4</v>
      </c>
      <c r="G794">
        <v>481</v>
      </c>
      <c r="H794">
        <v>0.16</v>
      </c>
      <c r="I794" t="s">
        <v>28</v>
      </c>
      <c r="J794">
        <v>9</v>
      </c>
      <c r="K794">
        <v>2.8</v>
      </c>
      <c r="L794">
        <v>1616.16</v>
      </c>
    </row>
    <row r="795" spans="1:12">
      <c r="A795">
        <v>10794</v>
      </c>
      <c r="B795" t="s">
        <v>829</v>
      </c>
      <c r="C795">
        <v>1454</v>
      </c>
      <c r="D795" t="s">
        <v>55</v>
      </c>
      <c r="E795" t="s">
        <v>30</v>
      </c>
      <c r="F795">
        <v>3</v>
      </c>
      <c r="G795">
        <v>256.60000000000002</v>
      </c>
      <c r="H795">
        <v>0.28999999999999998</v>
      </c>
      <c r="I795" t="s">
        <v>28</v>
      </c>
      <c r="J795">
        <v>4</v>
      </c>
      <c r="K795">
        <v>4.7</v>
      </c>
      <c r="L795">
        <v>546.55999999999995</v>
      </c>
    </row>
    <row r="796" spans="1:12">
      <c r="A796">
        <v>10795</v>
      </c>
      <c r="B796" t="s">
        <v>830</v>
      </c>
      <c r="C796">
        <v>1795</v>
      </c>
      <c r="D796" t="s">
        <v>34</v>
      </c>
      <c r="E796" t="s">
        <v>43</v>
      </c>
      <c r="F796">
        <v>5</v>
      </c>
      <c r="G796">
        <v>103.53</v>
      </c>
      <c r="H796">
        <v>0.24</v>
      </c>
      <c r="I796" t="s">
        <v>15</v>
      </c>
      <c r="J796">
        <v>4</v>
      </c>
      <c r="K796">
        <v>3.7</v>
      </c>
      <c r="L796">
        <v>393.41</v>
      </c>
    </row>
    <row r="797" spans="1:12">
      <c r="A797">
        <v>10796</v>
      </c>
      <c r="B797" t="s">
        <v>831</v>
      </c>
      <c r="C797">
        <v>1717</v>
      </c>
      <c r="D797" t="s">
        <v>13</v>
      </c>
      <c r="E797" t="s">
        <v>14</v>
      </c>
      <c r="F797">
        <v>6</v>
      </c>
      <c r="G797">
        <v>474.42</v>
      </c>
      <c r="H797">
        <v>0.34</v>
      </c>
      <c r="I797" t="s">
        <v>31</v>
      </c>
      <c r="J797">
        <v>9</v>
      </c>
      <c r="K797">
        <v>2.4</v>
      </c>
      <c r="L797">
        <v>1878.7</v>
      </c>
    </row>
    <row r="798" spans="1:12">
      <c r="A798">
        <v>10797</v>
      </c>
      <c r="B798" t="s">
        <v>832</v>
      </c>
      <c r="C798">
        <v>1734</v>
      </c>
      <c r="D798" t="s">
        <v>27</v>
      </c>
      <c r="E798" t="s">
        <v>14</v>
      </c>
      <c r="F798">
        <v>2</v>
      </c>
      <c r="G798">
        <v>86.4</v>
      </c>
      <c r="H798">
        <v>0.28000000000000003</v>
      </c>
      <c r="I798" t="s">
        <v>31</v>
      </c>
      <c r="J798">
        <v>4</v>
      </c>
      <c r="K798">
        <v>3.8</v>
      </c>
      <c r="L798">
        <v>124.42</v>
      </c>
    </row>
    <row r="799" spans="1:12">
      <c r="A799">
        <v>10798</v>
      </c>
      <c r="B799" t="s">
        <v>833</v>
      </c>
      <c r="C799">
        <v>1383</v>
      </c>
      <c r="D799" t="s">
        <v>34</v>
      </c>
      <c r="E799" t="s">
        <v>43</v>
      </c>
      <c r="F799">
        <v>3</v>
      </c>
      <c r="G799">
        <v>125.76</v>
      </c>
      <c r="H799">
        <v>0.03</v>
      </c>
      <c r="I799" t="s">
        <v>31</v>
      </c>
      <c r="J799">
        <v>10</v>
      </c>
      <c r="K799">
        <v>3.3</v>
      </c>
      <c r="L799">
        <v>365.96</v>
      </c>
    </row>
    <row r="800" spans="1:12">
      <c r="A800">
        <v>10799</v>
      </c>
      <c r="B800" t="s">
        <v>834</v>
      </c>
      <c r="C800">
        <v>1563</v>
      </c>
      <c r="D800" t="s">
        <v>34</v>
      </c>
      <c r="E800" t="s">
        <v>14</v>
      </c>
      <c r="F800">
        <v>3</v>
      </c>
      <c r="G800">
        <v>138.74</v>
      </c>
      <c r="H800">
        <v>0.25</v>
      </c>
      <c r="I800" t="s">
        <v>15</v>
      </c>
      <c r="J800">
        <v>4</v>
      </c>
      <c r="K800">
        <v>2.4</v>
      </c>
      <c r="L800">
        <v>312.17</v>
      </c>
    </row>
    <row r="801" spans="1:12">
      <c r="A801">
        <v>10800</v>
      </c>
      <c r="B801" t="s">
        <v>835</v>
      </c>
      <c r="C801">
        <v>1850</v>
      </c>
      <c r="D801" t="s">
        <v>34</v>
      </c>
      <c r="E801" t="s">
        <v>30</v>
      </c>
      <c r="F801">
        <v>6</v>
      </c>
      <c r="G801">
        <v>340.78</v>
      </c>
      <c r="H801">
        <v>0.19</v>
      </c>
      <c r="I801" t="s">
        <v>31</v>
      </c>
      <c r="J801">
        <v>8</v>
      </c>
      <c r="K801">
        <v>4.0999999999999996</v>
      </c>
      <c r="L801">
        <v>1656.19</v>
      </c>
    </row>
    <row r="802" spans="1:12">
      <c r="A802">
        <v>10801</v>
      </c>
      <c r="B802" t="s">
        <v>836</v>
      </c>
      <c r="C802">
        <v>1505</v>
      </c>
      <c r="D802" t="s">
        <v>55</v>
      </c>
      <c r="E802" t="s">
        <v>14</v>
      </c>
      <c r="F802">
        <v>4</v>
      </c>
      <c r="G802">
        <v>475.43</v>
      </c>
      <c r="H802">
        <v>0.01</v>
      </c>
      <c r="I802" t="s">
        <v>28</v>
      </c>
      <c r="J802">
        <v>11</v>
      </c>
      <c r="K802">
        <v>3.7</v>
      </c>
      <c r="L802">
        <v>1882.7</v>
      </c>
    </row>
    <row r="803" spans="1:12">
      <c r="A803">
        <v>10802</v>
      </c>
      <c r="B803" t="s">
        <v>837</v>
      </c>
      <c r="C803">
        <v>1366</v>
      </c>
      <c r="D803" t="s">
        <v>34</v>
      </c>
      <c r="E803" t="s">
        <v>43</v>
      </c>
      <c r="F803">
        <v>3</v>
      </c>
      <c r="G803">
        <v>198.87</v>
      </c>
      <c r="H803">
        <v>0.09</v>
      </c>
      <c r="I803" t="s">
        <v>28</v>
      </c>
      <c r="J803">
        <v>4</v>
      </c>
      <c r="K803">
        <v>1</v>
      </c>
      <c r="L803">
        <v>542.91999999999996</v>
      </c>
    </row>
    <row r="804" spans="1:12">
      <c r="A804">
        <v>10803</v>
      </c>
      <c r="B804" t="s">
        <v>838</v>
      </c>
      <c r="C804">
        <v>1143</v>
      </c>
      <c r="D804" t="s">
        <v>27</v>
      </c>
      <c r="E804" t="s">
        <v>30</v>
      </c>
      <c r="F804">
        <v>5</v>
      </c>
      <c r="G804">
        <v>64.53</v>
      </c>
      <c r="H804">
        <v>0.32</v>
      </c>
      <c r="I804" t="s">
        <v>28</v>
      </c>
      <c r="J804">
        <v>9</v>
      </c>
      <c r="K804">
        <v>4.5</v>
      </c>
      <c r="L804">
        <v>219.4</v>
      </c>
    </row>
    <row r="805" spans="1:12">
      <c r="A805">
        <v>10804</v>
      </c>
      <c r="B805" t="s">
        <v>839</v>
      </c>
      <c r="C805">
        <v>1884</v>
      </c>
      <c r="D805" t="s">
        <v>34</v>
      </c>
      <c r="E805" t="s">
        <v>14</v>
      </c>
      <c r="F805">
        <v>6</v>
      </c>
      <c r="G805">
        <v>286.76</v>
      </c>
      <c r="H805">
        <v>0.32</v>
      </c>
      <c r="I805" t="s">
        <v>31</v>
      </c>
      <c r="J805">
        <v>11</v>
      </c>
      <c r="K805">
        <v>2.6</v>
      </c>
      <c r="L805">
        <v>1169.98</v>
      </c>
    </row>
    <row r="806" spans="1:12">
      <c r="A806">
        <v>10805</v>
      </c>
      <c r="B806" t="s">
        <v>840</v>
      </c>
      <c r="C806">
        <v>1068</v>
      </c>
      <c r="D806" t="s">
        <v>55</v>
      </c>
      <c r="E806" t="s">
        <v>30</v>
      </c>
      <c r="F806">
        <v>5</v>
      </c>
      <c r="G806">
        <v>452.64</v>
      </c>
      <c r="H806">
        <v>0.28000000000000003</v>
      </c>
      <c r="I806" t="s">
        <v>28</v>
      </c>
      <c r="J806">
        <v>8</v>
      </c>
      <c r="K806">
        <v>3.6</v>
      </c>
      <c r="L806">
        <v>1629.5</v>
      </c>
    </row>
    <row r="807" spans="1:12">
      <c r="A807">
        <v>10806</v>
      </c>
      <c r="B807" t="s">
        <v>841</v>
      </c>
      <c r="C807">
        <v>1098</v>
      </c>
      <c r="D807" t="s">
        <v>55</v>
      </c>
      <c r="E807" t="s">
        <v>43</v>
      </c>
      <c r="F807">
        <v>6</v>
      </c>
      <c r="G807">
        <v>144.66999999999999</v>
      </c>
      <c r="H807">
        <v>0.34</v>
      </c>
      <c r="I807" t="s">
        <v>28</v>
      </c>
      <c r="J807">
        <v>5</v>
      </c>
      <c r="K807">
        <v>2.6</v>
      </c>
      <c r="L807">
        <v>572.89</v>
      </c>
    </row>
    <row r="808" spans="1:12">
      <c r="A808">
        <v>10807</v>
      </c>
      <c r="B808" t="s">
        <v>842</v>
      </c>
      <c r="C808">
        <v>1395</v>
      </c>
      <c r="D808" t="s">
        <v>55</v>
      </c>
      <c r="E808" t="s">
        <v>14</v>
      </c>
      <c r="F808">
        <v>5</v>
      </c>
      <c r="G808">
        <v>143.66</v>
      </c>
      <c r="H808">
        <v>0.28000000000000003</v>
      </c>
      <c r="I808" t="s">
        <v>15</v>
      </c>
      <c r="J808">
        <v>9</v>
      </c>
      <c r="K808">
        <v>4.5</v>
      </c>
      <c r="L808">
        <v>517.17999999999995</v>
      </c>
    </row>
    <row r="809" spans="1:12">
      <c r="A809">
        <v>10808</v>
      </c>
      <c r="B809" t="s">
        <v>843</v>
      </c>
      <c r="C809">
        <v>1024</v>
      </c>
      <c r="D809" t="s">
        <v>55</v>
      </c>
      <c r="E809" t="s">
        <v>30</v>
      </c>
      <c r="F809">
        <v>4</v>
      </c>
      <c r="G809">
        <v>569.13</v>
      </c>
      <c r="H809">
        <v>0</v>
      </c>
      <c r="I809" t="s">
        <v>28</v>
      </c>
      <c r="J809">
        <v>8</v>
      </c>
      <c r="K809">
        <v>3.6</v>
      </c>
      <c r="L809">
        <v>2276.52</v>
      </c>
    </row>
    <row r="810" spans="1:12">
      <c r="A810">
        <v>10809</v>
      </c>
      <c r="B810" t="s">
        <v>844</v>
      </c>
      <c r="C810">
        <v>1947</v>
      </c>
      <c r="D810" t="s">
        <v>34</v>
      </c>
      <c r="E810" t="s">
        <v>30</v>
      </c>
      <c r="F810">
        <v>6</v>
      </c>
      <c r="G810">
        <v>573.17999999999995</v>
      </c>
      <c r="H810">
        <v>0.1</v>
      </c>
      <c r="I810" t="s">
        <v>31</v>
      </c>
      <c r="J810">
        <v>10</v>
      </c>
      <c r="K810">
        <v>3.3</v>
      </c>
      <c r="L810">
        <v>3095.17</v>
      </c>
    </row>
    <row r="811" spans="1:12">
      <c r="A811">
        <v>10810</v>
      </c>
      <c r="B811" t="s">
        <v>845</v>
      </c>
      <c r="C811">
        <v>1890</v>
      </c>
      <c r="D811" t="s">
        <v>34</v>
      </c>
      <c r="E811" t="s">
        <v>14</v>
      </c>
      <c r="F811">
        <v>7</v>
      </c>
      <c r="G811">
        <v>594.41999999999996</v>
      </c>
      <c r="H811">
        <v>0.01</v>
      </c>
      <c r="I811" t="s">
        <v>28</v>
      </c>
      <c r="J811">
        <v>4</v>
      </c>
      <c r="K811">
        <v>4.9000000000000004</v>
      </c>
      <c r="L811">
        <v>4119.33</v>
      </c>
    </row>
    <row r="812" spans="1:12">
      <c r="A812">
        <v>10811</v>
      </c>
      <c r="B812" t="s">
        <v>846</v>
      </c>
      <c r="C812">
        <v>1468</v>
      </c>
      <c r="D812" t="s">
        <v>55</v>
      </c>
      <c r="E812" t="s">
        <v>30</v>
      </c>
      <c r="F812">
        <v>2</v>
      </c>
      <c r="G812">
        <v>487.48</v>
      </c>
      <c r="H812">
        <v>0.03</v>
      </c>
      <c r="I812" t="s">
        <v>28</v>
      </c>
      <c r="J812">
        <v>4</v>
      </c>
      <c r="K812">
        <v>2.1</v>
      </c>
      <c r="L812">
        <v>945.71</v>
      </c>
    </row>
    <row r="813" spans="1:12">
      <c r="A813">
        <v>10812</v>
      </c>
      <c r="B813" t="s">
        <v>847</v>
      </c>
      <c r="C813">
        <v>1483</v>
      </c>
      <c r="D813" t="s">
        <v>27</v>
      </c>
      <c r="E813" t="s">
        <v>30</v>
      </c>
      <c r="F813">
        <v>4</v>
      </c>
      <c r="G813">
        <v>125.09</v>
      </c>
      <c r="H813">
        <v>0.08</v>
      </c>
      <c r="I813" t="s">
        <v>28</v>
      </c>
      <c r="J813">
        <v>1</v>
      </c>
      <c r="K813">
        <v>1.3</v>
      </c>
      <c r="L813">
        <v>460.33</v>
      </c>
    </row>
    <row r="814" spans="1:12">
      <c r="A814">
        <v>10813</v>
      </c>
      <c r="B814" t="s">
        <v>848</v>
      </c>
      <c r="C814">
        <v>1564</v>
      </c>
      <c r="D814" t="s">
        <v>27</v>
      </c>
      <c r="E814" t="s">
        <v>43</v>
      </c>
      <c r="F814">
        <v>5</v>
      </c>
      <c r="G814">
        <v>139.01</v>
      </c>
      <c r="H814">
        <v>0.18</v>
      </c>
      <c r="I814" t="s">
        <v>28</v>
      </c>
      <c r="J814">
        <v>4</v>
      </c>
      <c r="K814">
        <v>3.1</v>
      </c>
      <c r="L814">
        <v>569.94000000000005</v>
      </c>
    </row>
    <row r="815" spans="1:12">
      <c r="A815">
        <v>10814</v>
      </c>
      <c r="B815" t="s">
        <v>849</v>
      </c>
      <c r="C815">
        <v>1150</v>
      </c>
      <c r="D815" t="s">
        <v>34</v>
      </c>
      <c r="E815" t="s">
        <v>43</v>
      </c>
      <c r="F815">
        <v>6</v>
      </c>
      <c r="G815">
        <v>214.03</v>
      </c>
      <c r="H815">
        <v>0.3</v>
      </c>
      <c r="I815" t="s">
        <v>15</v>
      </c>
      <c r="J815">
        <v>8</v>
      </c>
      <c r="K815">
        <v>2.7</v>
      </c>
      <c r="L815">
        <v>898.93</v>
      </c>
    </row>
    <row r="816" spans="1:12">
      <c r="A816">
        <v>10815</v>
      </c>
      <c r="B816" t="s">
        <v>850</v>
      </c>
      <c r="C816">
        <v>1143</v>
      </c>
      <c r="D816" t="s">
        <v>34</v>
      </c>
      <c r="E816" t="s">
        <v>43</v>
      </c>
      <c r="F816">
        <v>4</v>
      </c>
      <c r="G816">
        <v>201.11</v>
      </c>
      <c r="H816">
        <v>0.3</v>
      </c>
      <c r="I816" t="s">
        <v>28</v>
      </c>
      <c r="J816">
        <v>5</v>
      </c>
      <c r="K816">
        <v>2.8</v>
      </c>
      <c r="L816">
        <v>563.11</v>
      </c>
    </row>
    <row r="817" spans="1:12">
      <c r="A817">
        <v>10816</v>
      </c>
      <c r="B817" t="s">
        <v>851</v>
      </c>
      <c r="C817">
        <v>1568</v>
      </c>
      <c r="D817" t="s">
        <v>34</v>
      </c>
      <c r="E817" t="s">
        <v>43</v>
      </c>
      <c r="F817">
        <v>5</v>
      </c>
      <c r="G817">
        <v>574.57000000000005</v>
      </c>
      <c r="H817">
        <v>0.22</v>
      </c>
      <c r="I817" t="s">
        <v>28</v>
      </c>
      <c r="J817">
        <v>6</v>
      </c>
      <c r="K817">
        <v>3.5</v>
      </c>
      <c r="L817">
        <v>2240.8200000000002</v>
      </c>
    </row>
    <row r="818" spans="1:12">
      <c r="A818">
        <v>10817</v>
      </c>
      <c r="B818" t="s">
        <v>852</v>
      </c>
      <c r="C818">
        <v>1038</v>
      </c>
      <c r="D818" t="s">
        <v>13</v>
      </c>
      <c r="E818" t="s">
        <v>43</v>
      </c>
      <c r="F818">
        <v>1</v>
      </c>
      <c r="G818">
        <v>476.61</v>
      </c>
      <c r="H818">
        <v>0.32</v>
      </c>
      <c r="I818" t="s">
        <v>31</v>
      </c>
      <c r="J818">
        <v>4</v>
      </c>
      <c r="K818">
        <v>3.5</v>
      </c>
      <c r="L818">
        <v>324.08999999999997</v>
      </c>
    </row>
    <row r="819" spans="1:12">
      <c r="A819">
        <v>10818</v>
      </c>
      <c r="B819" t="s">
        <v>853</v>
      </c>
      <c r="C819">
        <v>1108</v>
      </c>
      <c r="D819" t="s">
        <v>34</v>
      </c>
      <c r="E819" t="s">
        <v>43</v>
      </c>
      <c r="F819">
        <v>1</v>
      </c>
      <c r="G819">
        <v>438.55</v>
      </c>
      <c r="H819">
        <v>0.18</v>
      </c>
      <c r="I819" t="s">
        <v>31</v>
      </c>
      <c r="J819">
        <v>5</v>
      </c>
      <c r="K819">
        <v>2.6</v>
      </c>
      <c r="L819">
        <v>359.61</v>
      </c>
    </row>
    <row r="820" spans="1:12">
      <c r="A820">
        <v>10819</v>
      </c>
      <c r="B820" t="s">
        <v>854</v>
      </c>
      <c r="C820">
        <v>1692</v>
      </c>
      <c r="D820" t="s">
        <v>27</v>
      </c>
      <c r="E820" t="s">
        <v>14</v>
      </c>
      <c r="F820">
        <v>3</v>
      </c>
      <c r="G820">
        <v>123.79</v>
      </c>
      <c r="H820">
        <v>0.31</v>
      </c>
      <c r="I820" t="s">
        <v>31</v>
      </c>
      <c r="J820">
        <v>10</v>
      </c>
      <c r="K820">
        <v>4.5</v>
      </c>
      <c r="L820">
        <v>256.25</v>
      </c>
    </row>
    <row r="821" spans="1:12">
      <c r="A821">
        <v>10820</v>
      </c>
      <c r="B821" t="s">
        <v>855</v>
      </c>
      <c r="C821">
        <v>1041</v>
      </c>
      <c r="D821" t="s">
        <v>34</v>
      </c>
      <c r="E821" t="s">
        <v>43</v>
      </c>
      <c r="F821">
        <v>2</v>
      </c>
      <c r="G821">
        <v>547.07000000000005</v>
      </c>
      <c r="H821">
        <v>0.16</v>
      </c>
      <c r="I821" t="s">
        <v>15</v>
      </c>
      <c r="J821">
        <v>8</v>
      </c>
      <c r="K821">
        <v>3.6</v>
      </c>
      <c r="L821">
        <v>919.08</v>
      </c>
    </row>
    <row r="822" spans="1:12">
      <c r="A822">
        <v>10821</v>
      </c>
      <c r="B822" t="s">
        <v>856</v>
      </c>
      <c r="C822">
        <v>1185</v>
      </c>
      <c r="D822" t="s">
        <v>55</v>
      </c>
      <c r="E822" t="s">
        <v>30</v>
      </c>
      <c r="F822">
        <v>1</v>
      </c>
      <c r="G822">
        <v>499.3</v>
      </c>
      <c r="H822">
        <v>0.1</v>
      </c>
      <c r="I822" t="s">
        <v>31</v>
      </c>
      <c r="J822">
        <v>9</v>
      </c>
      <c r="K822">
        <v>4.5999999999999996</v>
      </c>
      <c r="L822">
        <v>449.37</v>
      </c>
    </row>
    <row r="823" spans="1:12">
      <c r="A823">
        <v>10822</v>
      </c>
      <c r="B823" t="s">
        <v>857</v>
      </c>
      <c r="C823">
        <v>1934</v>
      </c>
      <c r="D823" t="s">
        <v>34</v>
      </c>
      <c r="E823" t="s">
        <v>14</v>
      </c>
      <c r="F823">
        <v>7</v>
      </c>
      <c r="G823">
        <v>110.73</v>
      </c>
      <c r="H823">
        <v>0.32</v>
      </c>
      <c r="I823" t="s">
        <v>28</v>
      </c>
      <c r="J823">
        <v>3</v>
      </c>
      <c r="K823">
        <v>4.7</v>
      </c>
      <c r="L823">
        <v>527.07000000000005</v>
      </c>
    </row>
    <row r="824" spans="1:12">
      <c r="A824">
        <v>10823</v>
      </c>
      <c r="B824" t="s">
        <v>858</v>
      </c>
      <c r="C824">
        <v>1397</v>
      </c>
      <c r="D824" t="s">
        <v>13</v>
      </c>
      <c r="E824" t="s">
        <v>30</v>
      </c>
      <c r="F824">
        <v>5</v>
      </c>
      <c r="G824">
        <v>524.63</v>
      </c>
      <c r="H824">
        <v>0.14000000000000001</v>
      </c>
      <c r="I824" t="s">
        <v>15</v>
      </c>
      <c r="J824">
        <v>10</v>
      </c>
      <c r="K824">
        <v>1.7</v>
      </c>
      <c r="L824">
        <v>2255.91</v>
      </c>
    </row>
    <row r="825" spans="1:12">
      <c r="A825">
        <v>10824</v>
      </c>
      <c r="B825" t="s">
        <v>859</v>
      </c>
      <c r="C825">
        <v>1222</v>
      </c>
      <c r="D825" t="s">
        <v>13</v>
      </c>
      <c r="E825" t="s">
        <v>43</v>
      </c>
      <c r="F825">
        <v>4</v>
      </c>
      <c r="G825">
        <v>174.26</v>
      </c>
      <c r="H825">
        <v>0.18</v>
      </c>
      <c r="I825" t="s">
        <v>31</v>
      </c>
      <c r="J825">
        <v>4</v>
      </c>
      <c r="K825">
        <v>3.7</v>
      </c>
      <c r="L825">
        <v>571.57000000000005</v>
      </c>
    </row>
    <row r="826" spans="1:12">
      <c r="A826">
        <v>10825</v>
      </c>
      <c r="B826" t="s">
        <v>860</v>
      </c>
      <c r="C826">
        <v>1633</v>
      </c>
      <c r="D826" t="s">
        <v>34</v>
      </c>
      <c r="E826" t="s">
        <v>43</v>
      </c>
      <c r="F826">
        <v>6</v>
      </c>
      <c r="G826">
        <v>62.31</v>
      </c>
      <c r="H826">
        <v>0.12</v>
      </c>
      <c r="I826" t="s">
        <v>28</v>
      </c>
      <c r="J826">
        <v>1</v>
      </c>
      <c r="K826">
        <v>2.2999999999999998</v>
      </c>
      <c r="L826">
        <v>329</v>
      </c>
    </row>
    <row r="827" spans="1:12">
      <c r="A827">
        <v>10826</v>
      </c>
      <c r="B827" t="s">
        <v>861</v>
      </c>
      <c r="C827">
        <v>1132</v>
      </c>
      <c r="D827" t="s">
        <v>13</v>
      </c>
      <c r="E827" t="s">
        <v>30</v>
      </c>
      <c r="F827">
        <v>4</v>
      </c>
      <c r="G827">
        <v>399.24</v>
      </c>
      <c r="H827">
        <v>0.23</v>
      </c>
      <c r="I827" t="s">
        <v>28</v>
      </c>
      <c r="J827">
        <v>11</v>
      </c>
      <c r="K827">
        <v>4.3</v>
      </c>
      <c r="L827">
        <v>1229.6600000000001</v>
      </c>
    </row>
    <row r="828" spans="1:12">
      <c r="A828">
        <v>10827</v>
      </c>
      <c r="B828" t="s">
        <v>862</v>
      </c>
      <c r="C828">
        <v>1162</v>
      </c>
      <c r="D828" t="s">
        <v>13</v>
      </c>
      <c r="E828" t="s">
        <v>30</v>
      </c>
      <c r="F828">
        <v>3</v>
      </c>
      <c r="G828">
        <v>397.48</v>
      </c>
      <c r="H828">
        <v>0.35</v>
      </c>
      <c r="I828" t="s">
        <v>28</v>
      </c>
      <c r="J828">
        <v>5</v>
      </c>
      <c r="K828">
        <v>3.9</v>
      </c>
      <c r="L828">
        <v>775.09</v>
      </c>
    </row>
    <row r="829" spans="1:12">
      <c r="A829">
        <v>10828</v>
      </c>
      <c r="B829" t="s">
        <v>863</v>
      </c>
      <c r="C829">
        <v>1214</v>
      </c>
      <c r="D829" t="s">
        <v>55</v>
      </c>
      <c r="E829" t="s">
        <v>30</v>
      </c>
      <c r="F829">
        <v>4</v>
      </c>
      <c r="G829">
        <v>70.540000000000006</v>
      </c>
      <c r="H829">
        <v>0.01</v>
      </c>
      <c r="I829" t="s">
        <v>28</v>
      </c>
      <c r="J829">
        <v>4</v>
      </c>
      <c r="K829">
        <v>1.8</v>
      </c>
      <c r="L829">
        <v>279.33999999999997</v>
      </c>
    </row>
    <row r="830" spans="1:12">
      <c r="A830">
        <v>10829</v>
      </c>
      <c r="B830" t="s">
        <v>864</v>
      </c>
      <c r="C830">
        <v>1732</v>
      </c>
      <c r="D830" t="s">
        <v>55</v>
      </c>
      <c r="E830" t="s">
        <v>32</v>
      </c>
      <c r="F830">
        <v>1</v>
      </c>
      <c r="G830">
        <v>201.53</v>
      </c>
      <c r="H830">
        <v>0.31</v>
      </c>
      <c r="I830" t="s">
        <v>28</v>
      </c>
      <c r="J830">
        <v>6</v>
      </c>
      <c r="K830">
        <v>4.8</v>
      </c>
      <c r="L830">
        <v>139.06</v>
      </c>
    </row>
    <row r="831" spans="1:12">
      <c r="A831">
        <v>10830</v>
      </c>
      <c r="B831" t="s">
        <v>865</v>
      </c>
      <c r="C831">
        <v>1234</v>
      </c>
      <c r="D831" t="s">
        <v>34</v>
      </c>
      <c r="E831" t="s">
        <v>32</v>
      </c>
      <c r="F831">
        <v>4</v>
      </c>
      <c r="G831">
        <v>595.79999999999995</v>
      </c>
      <c r="H831">
        <v>0</v>
      </c>
      <c r="I831" t="s">
        <v>28</v>
      </c>
      <c r="J831">
        <v>6</v>
      </c>
      <c r="K831">
        <v>3.7</v>
      </c>
      <c r="L831">
        <v>2383.1999999999998</v>
      </c>
    </row>
    <row r="832" spans="1:12">
      <c r="A832">
        <v>10831</v>
      </c>
      <c r="B832" t="s">
        <v>866</v>
      </c>
      <c r="C832">
        <v>1842</v>
      </c>
      <c r="D832" t="s">
        <v>27</v>
      </c>
      <c r="E832" t="s">
        <v>32</v>
      </c>
      <c r="F832">
        <v>1</v>
      </c>
      <c r="G832">
        <v>411.88</v>
      </c>
      <c r="H832">
        <v>0.13</v>
      </c>
      <c r="I832" t="s">
        <v>15</v>
      </c>
      <c r="J832">
        <v>10</v>
      </c>
      <c r="K832">
        <v>4.8</v>
      </c>
      <c r="L832">
        <v>358.34</v>
      </c>
    </row>
    <row r="833" spans="1:12">
      <c r="A833">
        <v>10832</v>
      </c>
      <c r="B833" t="s">
        <v>867</v>
      </c>
      <c r="C833">
        <v>1657</v>
      </c>
      <c r="D833" t="s">
        <v>34</v>
      </c>
      <c r="E833" t="s">
        <v>32</v>
      </c>
      <c r="F833">
        <v>1</v>
      </c>
      <c r="G833">
        <v>442.09</v>
      </c>
      <c r="H833">
        <v>0.06</v>
      </c>
      <c r="I833" t="s">
        <v>15</v>
      </c>
      <c r="J833">
        <v>6</v>
      </c>
      <c r="K833">
        <v>1.8</v>
      </c>
      <c r="L833">
        <v>415.56</v>
      </c>
    </row>
    <row r="834" spans="1:12">
      <c r="A834">
        <v>10833</v>
      </c>
      <c r="B834" t="s">
        <v>868</v>
      </c>
      <c r="C834">
        <v>1750</v>
      </c>
      <c r="D834" t="s">
        <v>34</v>
      </c>
      <c r="E834" t="s">
        <v>14</v>
      </c>
      <c r="F834">
        <v>2</v>
      </c>
      <c r="G834">
        <v>139.56</v>
      </c>
      <c r="H834">
        <v>0.27</v>
      </c>
      <c r="I834" t="s">
        <v>31</v>
      </c>
      <c r="J834">
        <v>3</v>
      </c>
      <c r="K834">
        <v>4.5</v>
      </c>
      <c r="L834">
        <v>203.76</v>
      </c>
    </row>
    <row r="835" spans="1:12">
      <c r="A835">
        <v>10834</v>
      </c>
      <c r="B835" t="s">
        <v>869</v>
      </c>
      <c r="C835">
        <v>1587</v>
      </c>
      <c r="D835" t="s">
        <v>13</v>
      </c>
      <c r="E835" t="s">
        <v>43</v>
      </c>
      <c r="F835">
        <v>3</v>
      </c>
      <c r="G835">
        <v>61.09</v>
      </c>
      <c r="H835">
        <v>0.02</v>
      </c>
      <c r="I835" t="s">
        <v>15</v>
      </c>
      <c r="J835">
        <v>7</v>
      </c>
      <c r="K835">
        <v>3.7</v>
      </c>
      <c r="L835">
        <v>179.6</v>
      </c>
    </row>
    <row r="836" spans="1:12">
      <c r="A836">
        <v>10835</v>
      </c>
      <c r="B836" t="s">
        <v>870</v>
      </c>
      <c r="C836">
        <v>1008</v>
      </c>
      <c r="D836" t="s">
        <v>34</v>
      </c>
      <c r="E836" t="s">
        <v>30</v>
      </c>
      <c r="F836">
        <v>7</v>
      </c>
      <c r="G836">
        <v>176.99</v>
      </c>
      <c r="H836">
        <v>0.19</v>
      </c>
      <c r="I836" t="s">
        <v>28</v>
      </c>
      <c r="J836">
        <v>3</v>
      </c>
      <c r="K836">
        <v>3.2</v>
      </c>
      <c r="L836">
        <v>1003.53</v>
      </c>
    </row>
    <row r="837" spans="1:12">
      <c r="A837">
        <v>10836</v>
      </c>
      <c r="B837" t="s">
        <v>871</v>
      </c>
      <c r="C837">
        <v>1073</v>
      </c>
      <c r="D837" t="s">
        <v>55</v>
      </c>
      <c r="E837" t="s">
        <v>43</v>
      </c>
      <c r="F837">
        <v>7</v>
      </c>
      <c r="G837">
        <v>160.61000000000001</v>
      </c>
      <c r="H837">
        <v>0.1</v>
      </c>
      <c r="I837" t="s">
        <v>15</v>
      </c>
      <c r="J837">
        <v>6</v>
      </c>
      <c r="K837">
        <v>4.3</v>
      </c>
      <c r="L837">
        <v>1011.84</v>
      </c>
    </row>
    <row r="838" spans="1:12">
      <c r="A838">
        <v>10837</v>
      </c>
      <c r="B838" t="s">
        <v>872</v>
      </c>
      <c r="C838">
        <v>1953</v>
      </c>
      <c r="D838" t="s">
        <v>55</v>
      </c>
      <c r="E838" t="s">
        <v>30</v>
      </c>
      <c r="F838">
        <v>5</v>
      </c>
      <c r="G838">
        <v>152.21</v>
      </c>
      <c r="H838">
        <v>0.05</v>
      </c>
      <c r="I838" t="s">
        <v>31</v>
      </c>
      <c r="J838">
        <v>10</v>
      </c>
      <c r="K838">
        <v>3.5</v>
      </c>
      <c r="L838">
        <v>723</v>
      </c>
    </row>
    <row r="839" spans="1:12">
      <c r="A839">
        <v>10838</v>
      </c>
      <c r="B839" t="s">
        <v>873</v>
      </c>
      <c r="C839">
        <v>1491</v>
      </c>
      <c r="D839" t="s">
        <v>13</v>
      </c>
      <c r="E839" t="s">
        <v>43</v>
      </c>
      <c r="F839">
        <v>7</v>
      </c>
      <c r="G839">
        <v>127.76</v>
      </c>
      <c r="H839">
        <v>0.27</v>
      </c>
      <c r="I839" t="s">
        <v>28</v>
      </c>
      <c r="J839">
        <v>1</v>
      </c>
      <c r="K839">
        <v>3.7</v>
      </c>
      <c r="L839">
        <v>652.85</v>
      </c>
    </row>
    <row r="840" spans="1:12">
      <c r="A840">
        <v>10839</v>
      </c>
      <c r="B840" t="s">
        <v>874</v>
      </c>
      <c r="C840">
        <v>1912</v>
      </c>
      <c r="D840" t="s">
        <v>13</v>
      </c>
      <c r="E840" t="s">
        <v>14</v>
      </c>
      <c r="F840">
        <v>1</v>
      </c>
      <c r="G840">
        <v>351.23</v>
      </c>
      <c r="H840">
        <v>0.08</v>
      </c>
      <c r="I840" t="s">
        <v>28</v>
      </c>
      <c r="J840">
        <v>8</v>
      </c>
      <c r="K840">
        <v>2</v>
      </c>
      <c r="L840">
        <v>323.13</v>
      </c>
    </row>
    <row r="841" spans="1:12">
      <c r="A841">
        <v>10840</v>
      </c>
      <c r="B841" t="s">
        <v>875</v>
      </c>
      <c r="C841">
        <v>1252</v>
      </c>
      <c r="D841" t="s">
        <v>34</v>
      </c>
      <c r="E841" t="s">
        <v>32</v>
      </c>
      <c r="F841">
        <v>6</v>
      </c>
      <c r="G841">
        <v>206.94</v>
      </c>
      <c r="H841">
        <v>0.08</v>
      </c>
      <c r="I841" t="s">
        <v>28</v>
      </c>
      <c r="J841">
        <v>7</v>
      </c>
      <c r="K841">
        <v>4.3</v>
      </c>
      <c r="L841">
        <v>1142.31</v>
      </c>
    </row>
    <row r="842" spans="1:12">
      <c r="A842">
        <v>10841</v>
      </c>
      <c r="B842" t="s">
        <v>876</v>
      </c>
      <c r="C842">
        <v>1229</v>
      </c>
      <c r="D842" t="s">
        <v>34</v>
      </c>
      <c r="E842" t="s">
        <v>43</v>
      </c>
      <c r="F842">
        <v>3</v>
      </c>
      <c r="G842">
        <v>494.9</v>
      </c>
      <c r="H842">
        <v>0.1</v>
      </c>
      <c r="I842" t="s">
        <v>28</v>
      </c>
      <c r="J842">
        <v>9</v>
      </c>
      <c r="K842">
        <v>3.6</v>
      </c>
      <c r="L842">
        <v>1336.23</v>
      </c>
    </row>
    <row r="843" spans="1:12">
      <c r="A843">
        <v>10842</v>
      </c>
      <c r="B843" t="s">
        <v>877</v>
      </c>
      <c r="C843">
        <v>1518</v>
      </c>
      <c r="D843" t="s">
        <v>27</v>
      </c>
      <c r="E843" t="s">
        <v>30</v>
      </c>
      <c r="F843">
        <v>5</v>
      </c>
      <c r="G843">
        <v>122.61</v>
      </c>
      <c r="H843">
        <v>0.21</v>
      </c>
      <c r="I843" t="s">
        <v>28</v>
      </c>
      <c r="J843">
        <v>3</v>
      </c>
      <c r="K843">
        <v>4.4000000000000004</v>
      </c>
      <c r="L843">
        <v>484.31</v>
      </c>
    </row>
    <row r="844" spans="1:12">
      <c r="A844">
        <v>10843</v>
      </c>
      <c r="B844" t="s">
        <v>878</v>
      </c>
      <c r="C844">
        <v>1173</v>
      </c>
      <c r="D844" t="s">
        <v>34</v>
      </c>
      <c r="E844" t="s">
        <v>43</v>
      </c>
      <c r="F844">
        <v>7</v>
      </c>
      <c r="G844">
        <v>286.81</v>
      </c>
      <c r="H844">
        <v>0.23</v>
      </c>
      <c r="I844" t="s">
        <v>28</v>
      </c>
      <c r="J844">
        <v>8</v>
      </c>
      <c r="K844">
        <v>2.4</v>
      </c>
      <c r="L844">
        <v>1545.91</v>
      </c>
    </row>
    <row r="845" spans="1:12">
      <c r="A845">
        <v>10844</v>
      </c>
      <c r="B845" t="s">
        <v>879</v>
      </c>
      <c r="C845">
        <v>1652</v>
      </c>
      <c r="D845" t="s">
        <v>34</v>
      </c>
      <c r="E845" t="s">
        <v>14</v>
      </c>
      <c r="F845">
        <v>7</v>
      </c>
      <c r="G845">
        <v>22.99</v>
      </c>
      <c r="H845">
        <v>0.01</v>
      </c>
      <c r="I845" t="s">
        <v>28</v>
      </c>
      <c r="J845">
        <v>2</v>
      </c>
      <c r="K845">
        <v>2.2999999999999998</v>
      </c>
      <c r="L845">
        <v>159.32</v>
      </c>
    </row>
    <row r="846" spans="1:12">
      <c r="A846">
        <v>10845</v>
      </c>
      <c r="B846" t="s">
        <v>880</v>
      </c>
      <c r="C846">
        <v>1167</v>
      </c>
      <c r="D846" t="s">
        <v>27</v>
      </c>
      <c r="E846" t="s">
        <v>14</v>
      </c>
      <c r="F846">
        <v>6</v>
      </c>
      <c r="G846">
        <v>296.77999999999997</v>
      </c>
      <c r="H846">
        <v>0.08</v>
      </c>
      <c r="I846" t="s">
        <v>28</v>
      </c>
      <c r="J846">
        <v>9</v>
      </c>
      <c r="K846">
        <v>1.1000000000000001</v>
      </c>
      <c r="L846">
        <v>1638.23</v>
      </c>
    </row>
    <row r="847" spans="1:12">
      <c r="A847">
        <v>10846</v>
      </c>
      <c r="B847" t="s">
        <v>881</v>
      </c>
      <c r="C847">
        <v>1169</v>
      </c>
      <c r="D847" t="s">
        <v>55</v>
      </c>
      <c r="E847" t="s">
        <v>43</v>
      </c>
      <c r="F847">
        <v>4</v>
      </c>
      <c r="G847">
        <v>47.67</v>
      </c>
      <c r="H847">
        <v>0.15</v>
      </c>
      <c r="I847" t="s">
        <v>15</v>
      </c>
      <c r="J847">
        <v>1</v>
      </c>
      <c r="K847">
        <v>4.0999999999999996</v>
      </c>
      <c r="L847">
        <v>162.08000000000001</v>
      </c>
    </row>
    <row r="848" spans="1:12">
      <c r="A848">
        <v>10847</v>
      </c>
      <c r="B848" t="s">
        <v>882</v>
      </c>
      <c r="C848">
        <v>1392</v>
      </c>
      <c r="D848" t="s">
        <v>27</v>
      </c>
      <c r="E848" t="s">
        <v>32</v>
      </c>
      <c r="F848">
        <v>3</v>
      </c>
      <c r="G848">
        <v>586.97</v>
      </c>
      <c r="H848">
        <v>0.12</v>
      </c>
      <c r="I848" t="s">
        <v>28</v>
      </c>
      <c r="J848">
        <v>10</v>
      </c>
      <c r="K848">
        <v>2.2999999999999998</v>
      </c>
      <c r="L848">
        <v>1549.6</v>
      </c>
    </row>
    <row r="849" spans="1:12">
      <c r="A849">
        <v>10848</v>
      </c>
      <c r="B849" t="s">
        <v>883</v>
      </c>
      <c r="C849">
        <v>1945</v>
      </c>
      <c r="D849" t="s">
        <v>34</v>
      </c>
      <c r="E849" t="s">
        <v>30</v>
      </c>
      <c r="F849">
        <v>6</v>
      </c>
      <c r="G849">
        <v>477.5</v>
      </c>
      <c r="H849">
        <v>0.31</v>
      </c>
      <c r="I849" t="s">
        <v>28</v>
      </c>
      <c r="J849">
        <v>7</v>
      </c>
      <c r="K849">
        <v>2.2999999999999998</v>
      </c>
      <c r="L849">
        <v>1976.85</v>
      </c>
    </row>
    <row r="850" spans="1:12">
      <c r="A850">
        <v>10849</v>
      </c>
      <c r="B850" t="s">
        <v>884</v>
      </c>
      <c r="C850">
        <v>1794</v>
      </c>
      <c r="D850" t="s">
        <v>55</v>
      </c>
      <c r="E850" t="s">
        <v>14</v>
      </c>
      <c r="F850">
        <v>7</v>
      </c>
      <c r="G850">
        <v>301.72000000000003</v>
      </c>
      <c r="H850">
        <v>0.28000000000000003</v>
      </c>
      <c r="I850" t="s">
        <v>31</v>
      </c>
      <c r="J850">
        <v>10</v>
      </c>
      <c r="K850">
        <v>3.8</v>
      </c>
      <c r="L850">
        <v>1520.67</v>
      </c>
    </row>
    <row r="851" spans="1:12">
      <c r="A851">
        <v>10850</v>
      </c>
      <c r="B851" t="s">
        <v>885</v>
      </c>
      <c r="C851">
        <v>1633</v>
      </c>
      <c r="D851" t="s">
        <v>34</v>
      </c>
      <c r="E851" t="s">
        <v>14</v>
      </c>
      <c r="F851">
        <v>3</v>
      </c>
      <c r="G851">
        <v>65.650000000000006</v>
      </c>
      <c r="H851">
        <v>0.22</v>
      </c>
      <c r="I851" t="s">
        <v>15</v>
      </c>
      <c r="J851">
        <v>1</v>
      </c>
      <c r="K851">
        <v>2</v>
      </c>
      <c r="L851">
        <v>153.62</v>
      </c>
    </row>
    <row r="852" spans="1:12">
      <c r="A852">
        <v>10851</v>
      </c>
      <c r="B852" t="s">
        <v>886</v>
      </c>
      <c r="C852">
        <v>1193</v>
      </c>
      <c r="D852" t="s">
        <v>34</v>
      </c>
      <c r="E852" t="s">
        <v>43</v>
      </c>
      <c r="F852">
        <v>3</v>
      </c>
      <c r="G852">
        <v>361.58</v>
      </c>
      <c r="H852">
        <v>0.12</v>
      </c>
      <c r="I852" t="s">
        <v>28</v>
      </c>
      <c r="J852">
        <v>6</v>
      </c>
      <c r="K852">
        <v>4.5999999999999996</v>
      </c>
      <c r="L852">
        <v>954.57</v>
      </c>
    </row>
    <row r="853" spans="1:12">
      <c r="A853">
        <v>10852</v>
      </c>
      <c r="B853" t="s">
        <v>887</v>
      </c>
      <c r="C853">
        <v>1516</v>
      </c>
      <c r="D853" t="s">
        <v>55</v>
      </c>
      <c r="E853" t="s">
        <v>14</v>
      </c>
      <c r="F853">
        <v>7</v>
      </c>
      <c r="G853">
        <v>458.88</v>
      </c>
      <c r="H853">
        <v>0.25</v>
      </c>
      <c r="I853" t="s">
        <v>15</v>
      </c>
      <c r="J853">
        <v>1</v>
      </c>
      <c r="K853">
        <v>3.2</v>
      </c>
      <c r="L853">
        <v>2409.12</v>
      </c>
    </row>
    <row r="854" spans="1:12">
      <c r="A854">
        <v>10853</v>
      </c>
      <c r="B854" t="s">
        <v>888</v>
      </c>
      <c r="C854">
        <v>1028</v>
      </c>
      <c r="D854" t="s">
        <v>27</v>
      </c>
      <c r="E854" t="s">
        <v>14</v>
      </c>
      <c r="F854">
        <v>4</v>
      </c>
      <c r="G854">
        <v>126.57</v>
      </c>
      <c r="H854">
        <v>0.3</v>
      </c>
      <c r="I854" t="s">
        <v>28</v>
      </c>
      <c r="J854">
        <v>4</v>
      </c>
      <c r="K854">
        <v>4.9000000000000004</v>
      </c>
      <c r="L854">
        <v>354.4</v>
      </c>
    </row>
    <row r="855" spans="1:12">
      <c r="A855">
        <v>10854</v>
      </c>
      <c r="B855" t="s">
        <v>889</v>
      </c>
      <c r="C855">
        <v>1164</v>
      </c>
      <c r="D855" t="s">
        <v>55</v>
      </c>
      <c r="E855" t="s">
        <v>30</v>
      </c>
      <c r="F855">
        <v>4</v>
      </c>
      <c r="G855">
        <v>347.4</v>
      </c>
      <c r="H855">
        <v>0.21</v>
      </c>
      <c r="I855" t="s">
        <v>28</v>
      </c>
      <c r="J855">
        <v>7</v>
      </c>
      <c r="K855">
        <v>1.3</v>
      </c>
      <c r="L855">
        <v>1097.78</v>
      </c>
    </row>
    <row r="856" spans="1:12">
      <c r="A856">
        <v>10855</v>
      </c>
      <c r="B856" t="s">
        <v>890</v>
      </c>
      <c r="C856">
        <v>1421</v>
      </c>
      <c r="D856" t="s">
        <v>34</v>
      </c>
      <c r="E856" t="s">
        <v>32</v>
      </c>
      <c r="F856">
        <v>7</v>
      </c>
      <c r="G856">
        <v>491.31</v>
      </c>
      <c r="H856">
        <v>0.27</v>
      </c>
      <c r="I856" t="s">
        <v>28</v>
      </c>
      <c r="J856">
        <v>2</v>
      </c>
      <c r="K856">
        <v>2.2999999999999998</v>
      </c>
      <c r="L856">
        <v>2510.59</v>
      </c>
    </row>
    <row r="857" spans="1:12">
      <c r="A857">
        <v>10856</v>
      </c>
      <c r="B857" t="s">
        <v>891</v>
      </c>
      <c r="C857">
        <v>1338</v>
      </c>
      <c r="D857" t="s">
        <v>55</v>
      </c>
      <c r="E857" t="s">
        <v>30</v>
      </c>
      <c r="F857">
        <v>3</v>
      </c>
      <c r="G857">
        <v>464.42</v>
      </c>
      <c r="H857">
        <v>0.26</v>
      </c>
      <c r="I857" t="s">
        <v>31</v>
      </c>
      <c r="J857">
        <v>3</v>
      </c>
      <c r="K857">
        <v>2.5</v>
      </c>
      <c r="L857">
        <v>1031.01</v>
      </c>
    </row>
    <row r="858" spans="1:12">
      <c r="A858">
        <v>10857</v>
      </c>
      <c r="B858" t="s">
        <v>892</v>
      </c>
      <c r="C858">
        <v>1647</v>
      </c>
      <c r="D858" t="s">
        <v>27</v>
      </c>
      <c r="E858" t="s">
        <v>32</v>
      </c>
      <c r="F858">
        <v>6</v>
      </c>
      <c r="G858">
        <v>484.75</v>
      </c>
      <c r="H858">
        <v>0.2</v>
      </c>
      <c r="I858" t="s">
        <v>28</v>
      </c>
      <c r="J858">
        <v>4</v>
      </c>
      <c r="K858">
        <v>3.9</v>
      </c>
      <c r="L858">
        <v>2326.8000000000002</v>
      </c>
    </row>
    <row r="859" spans="1:12">
      <c r="A859">
        <v>10858</v>
      </c>
      <c r="B859" t="s">
        <v>893</v>
      </c>
      <c r="C859">
        <v>1495</v>
      </c>
      <c r="D859" t="s">
        <v>27</v>
      </c>
      <c r="E859" t="s">
        <v>30</v>
      </c>
      <c r="F859">
        <v>2</v>
      </c>
      <c r="G859">
        <v>529.4</v>
      </c>
      <c r="H859">
        <v>0.11</v>
      </c>
      <c r="I859" t="s">
        <v>31</v>
      </c>
      <c r="J859">
        <v>6</v>
      </c>
      <c r="K859">
        <v>1.9</v>
      </c>
      <c r="L859">
        <v>942.33</v>
      </c>
    </row>
    <row r="860" spans="1:12">
      <c r="A860">
        <v>10859</v>
      </c>
      <c r="B860" t="s">
        <v>894</v>
      </c>
      <c r="C860">
        <v>1364</v>
      </c>
      <c r="D860" t="s">
        <v>27</v>
      </c>
      <c r="E860" t="s">
        <v>43</v>
      </c>
      <c r="F860">
        <v>1</v>
      </c>
      <c r="G860">
        <v>563.54</v>
      </c>
      <c r="H860">
        <v>0.26</v>
      </c>
      <c r="I860" t="s">
        <v>28</v>
      </c>
      <c r="J860">
        <v>9</v>
      </c>
      <c r="K860">
        <v>2.5</v>
      </c>
      <c r="L860">
        <v>417.02</v>
      </c>
    </row>
    <row r="861" spans="1:12">
      <c r="A861">
        <v>10860</v>
      </c>
      <c r="B861" t="s">
        <v>895</v>
      </c>
      <c r="C861">
        <v>1832</v>
      </c>
      <c r="D861" t="s">
        <v>13</v>
      </c>
      <c r="E861" t="s">
        <v>14</v>
      </c>
      <c r="F861">
        <v>4</v>
      </c>
      <c r="G861">
        <v>252.23</v>
      </c>
      <c r="H861">
        <v>7.0000000000000007E-2</v>
      </c>
      <c r="I861" t="s">
        <v>31</v>
      </c>
      <c r="J861">
        <v>4</v>
      </c>
      <c r="K861">
        <v>4.5999999999999996</v>
      </c>
      <c r="L861">
        <v>938.3</v>
      </c>
    </row>
    <row r="862" spans="1:12">
      <c r="A862">
        <v>10861</v>
      </c>
      <c r="B862" t="s">
        <v>896</v>
      </c>
      <c r="C862">
        <v>1341</v>
      </c>
      <c r="D862" t="s">
        <v>27</v>
      </c>
      <c r="E862" t="s">
        <v>32</v>
      </c>
      <c r="F862">
        <v>7</v>
      </c>
      <c r="G862">
        <v>347.73</v>
      </c>
      <c r="H862">
        <v>0.27</v>
      </c>
      <c r="I862" t="s">
        <v>28</v>
      </c>
      <c r="J862">
        <v>6</v>
      </c>
      <c r="K862">
        <v>1.5</v>
      </c>
      <c r="L862">
        <v>1776.9</v>
      </c>
    </row>
    <row r="863" spans="1:12">
      <c r="A863">
        <v>10862</v>
      </c>
      <c r="B863" t="s">
        <v>897</v>
      </c>
      <c r="C863">
        <v>1499</v>
      </c>
      <c r="D863" t="s">
        <v>27</v>
      </c>
      <c r="E863" t="s">
        <v>43</v>
      </c>
      <c r="F863">
        <v>2</v>
      </c>
      <c r="G863">
        <v>477.54</v>
      </c>
      <c r="H863">
        <v>0.28000000000000003</v>
      </c>
      <c r="I863" t="s">
        <v>31</v>
      </c>
      <c r="J863">
        <v>7</v>
      </c>
      <c r="K863">
        <v>4</v>
      </c>
      <c r="L863">
        <v>687.66</v>
      </c>
    </row>
    <row r="864" spans="1:12">
      <c r="A864">
        <v>10863</v>
      </c>
      <c r="B864" t="s">
        <v>898</v>
      </c>
      <c r="C864">
        <v>1656</v>
      </c>
      <c r="D864" t="s">
        <v>13</v>
      </c>
      <c r="E864" t="s">
        <v>14</v>
      </c>
      <c r="F864">
        <v>4</v>
      </c>
      <c r="G864">
        <v>422.83</v>
      </c>
      <c r="H864">
        <v>0.28999999999999998</v>
      </c>
      <c r="I864" t="s">
        <v>31</v>
      </c>
      <c r="J864">
        <v>4</v>
      </c>
      <c r="K864">
        <v>3.8</v>
      </c>
      <c r="L864">
        <v>1200.8399999999999</v>
      </c>
    </row>
    <row r="865" spans="1:12">
      <c r="A865">
        <v>10864</v>
      </c>
      <c r="B865" t="s">
        <v>899</v>
      </c>
      <c r="C865">
        <v>1510</v>
      </c>
      <c r="D865" t="s">
        <v>55</v>
      </c>
      <c r="E865" t="s">
        <v>14</v>
      </c>
      <c r="F865">
        <v>3</v>
      </c>
      <c r="G865">
        <v>597.38</v>
      </c>
      <c r="H865">
        <v>0.17</v>
      </c>
      <c r="I865" t="s">
        <v>31</v>
      </c>
      <c r="J865">
        <v>6</v>
      </c>
      <c r="K865">
        <v>1.5</v>
      </c>
      <c r="L865">
        <v>1487.48</v>
      </c>
    </row>
    <row r="866" spans="1:12">
      <c r="A866">
        <v>10865</v>
      </c>
      <c r="B866" t="s">
        <v>900</v>
      </c>
      <c r="C866">
        <v>1326</v>
      </c>
      <c r="D866" t="s">
        <v>27</v>
      </c>
      <c r="E866" t="s">
        <v>14</v>
      </c>
      <c r="F866">
        <v>7</v>
      </c>
      <c r="G866">
        <v>23</v>
      </c>
      <c r="H866">
        <v>7.0000000000000007E-2</v>
      </c>
      <c r="I866" t="s">
        <v>28</v>
      </c>
      <c r="J866">
        <v>3</v>
      </c>
      <c r="K866">
        <v>3.8</v>
      </c>
      <c r="L866">
        <v>149.72999999999999</v>
      </c>
    </row>
    <row r="867" spans="1:12">
      <c r="A867">
        <v>10866</v>
      </c>
      <c r="B867" t="s">
        <v>901</v>
      </c>
      <c r="C867">
        <v>1216</v>
      </c>
      <c r="D867" t="s">
        <v>55</v>
      </c>
      <c r="E867" t="s">
        <v>30</v>
      </c>
      <c r="F867">
        <v>2</v>
      </c>
      <c r="G867">
        <v>222.75</v>
      </c>
      <c r="H867">
        <v>0.03</v>
      </c>
      <c r="I867" t="s">
        <v>15</v>
      </c>
      <c r="J867">
        <v>5</v>
      </c>
      <c r="K867">
        <v>3.3</v>
      </c>
      <c r="L867">
        <v>432.14</v>
      </c>
    </row>
    <row r="868" spans="1:12">
      <c r="A868">
        <v>10867</v>
      </c>
      <c r="B868" t="s">
        <v>902</v>
      </c>
      <c r="C868">
        <v>1300</v>
      </c>
      <c r="D868" t="s">
        <v>27</v>
      </c>
      <c r="E868" t="s">
        <v>43</v>
      </c>
      <c r="F868">
        <v>7</v>
      </c>
      <c r="G868">
        <v>179.4</v>
      </c>
      <c r="H868">
        <v>0.26</v>
      </c>
      <c r="I868" t="s">
        <v>31</v>
      </c>
      <c r="J868">
        <v>11</v>
      </c>
      <c r="K868">
        <v>2.2000000000000002</v>
      </c>
      <c r="L868">
        <v>929.29</v>
      </c>
    </row>
    <row r="869" spans="1:12">
      <c r="A869">
        <v>10868</v>
      </c>
      <c r="B869" t="s">
        <v>903</v>
      </c>
      <c r="C869">
        <v>1131</v>
      </c>
      <c r="D869" t="s">
        <v>34</v>
      </c>
      <c r="E869" t="s">
        <v>43</v>
      </c>
      <c r="F869">
        <v>6</v>
      </c>
      <c r="G869">
        <v>168.45</v>
      </c>
      <c r="H869">
        <v>0.31</v>
      </c>
      <c r="I869" t="s">
        <v>28</v>
      </c>
      <c r="J869">
        <v>10</v>
      </c>
      <c r="K869">
        <v>2.2000000000000002</v>
      </c>
      <c r="L869">
        <v>697.38</v>
      </c>
    </row>
    <row r="870" spans="1:12">
      <c r="A870">
        <v>10869</v>
      </c>
      <c r="B870" t="s">
        <v>904</v>
      </c>
      <c r="C870">
        <v>1803</v>
      </c>
      <c r="D870" t="s">
        <v>27</v>
      </c>
      <c r="E870" t="s">
        <v>14</v>
      </c>
      <c r="F870">
        <v>6</v>
      </c>
      <c r="G870">
        <v>145.18</v>
      </c>
      <c r="H870">
        <v>0.23</v>
      </c>
      <c r="I870" t="s">
        <v>15</v>
      </c>
      <c r="J870">
        <v>4</v>
      </c>
      <c r="K870">
        <v>4.3</v>
      </c>
      <c r="L870">
        <v>670.73</v>
      </c>
    </row>
    <row r="871" spans="1:12">
      <c r="A871">
        <v>10870</v>
      </c>
      <c r="B871" t="s">
        <v>905</v>
      </c>
      <c r="C871">
        <v>1069</v>
      </c>
      <c r="D871" t="s">
        <v>13</v>
      </c>
      <c r="E871" t="s">
        <v>32</v>
      </c>
      <c r="F871">
        <v>5</v>
      </c>
      <c r="G871">
        <v>429.84</v>
      </c>
      <c r="H871">
        <v>0.05</v>
      </c>
      <c r="I871" t="s">
        <v>31</v>
      </c>
      <c r="J871">
        <v>7</v>
      </c>
      <c r="K871">
        <v>1.9</v>
      </c>
      <c r="L871">
        <v>2041.74</v>
      </c>
    </row>
    <row r="872" spans="1:12">
      <c r="A872">
        <v>10871</v>
      </c>
      <c r="B872" t="s">
        <v>906</v>
      </c>
      <c r="C872">
        <v>1251</v>
      </c>
      <c r="D872" t="s">
        <v>13</v>
      </c>
      <c r="E872" t="s">
        <v>43</v>
      </c>
      <c r="F872">
        <v>1</v>
      </c>
      <c r="G872">
        <v>64.58</v>
      </c>
      <c r="H872">
        <v>0.33</v>
      </c>
      <c r="I872" t="s">
        <v>31</v>
      </c>
      <c r="J872">
        <v>6</v>
      </c>
      <c r="K872">
        <v>3.1</v>
      </c>
      <c r="L872">
        <v>43.27</v>
      </c>
    </row>
    <row r="873" spans="1:12">
      <c r="A873">
        <v>10872</v>
      </c>
      <c r="B873" t="s">
        <v>907</v>
      </c>
      <c r="C873">
        <v>1414</v>
      </c>
      <c r="D873" t="s">
        <v>34</v>
      </c>
      <c r="E873" t="s">
        <v>30</v>
      </c>
      <c r="F873">
        <v>1</v>
      </c>
      <c r="G873">
        <v>448.84</v>
      </c>
      <c r="H873">
        <v>0.35</v>
      </c>
      <c r="I873" t="s">
        <v>28</v>
      </c>
      <c r="J873">
        <v>7</v>
      </c>
      <c r="K873">
        <v>3.7</v>
      </c>
      <c r="L873">
        <v>291.75</v>
      </c>
    </row>
    <row r="874" spans="1:12">
      <c r="A874">
        <v>10873</v>
      </c>
      <c r="B874" t="s">
        <v>908</v>
      </c>
      <c r="C874">
        <v>1786</v>
      </c>
      <c r="D874" t="s">
        <v>27</v>
      </c>
      <c r="E874" t="s">
        <v>32</v>
      </c>
      <c r="F874">
        <v>4</v>
      </c>
      <c r="G874">
        <v>420.65</v>
      </c>
      <c r="H874">
        <v>0.15</v>
      </c>
      <c r="I874" t="s">
        <v>31</v>
      </c>
      <c r="J874">
        <v>6</v>
      </c>
      <c r="K874">
        <v>1.5</v>
      </c>
      <c r="L874">
        <v>1430.21</v>
      </c>
    </row>
    <row r="875" spans="1:12">
      <c r="A875">
        <v>10874</v>
      </c>
      <c r="B875" t="s">
        <v>909</v>
      </c>
      <c r="C875">
        <v>1444</v>
      </c>
      <c r="D875" t="s">
        <v>34</v>
      </c>
      <c r="E875" t="s">
        <v>32</v>
      </c>
      <c r="F875">
        <v>1</v>
      </c>
      <c r="G875">
        <v>161.72</v>
      </c>
      <c r="H875">
        <v>0.21</v>
      </c>
      <c r="I875" t="s">
        <v>28</v>
      </c>
      <c r="J875">
        <v>2</v>
      </c>
      <c r="K875">
        <v>4.7</v>
      </c>
      <c r="L875">
        <v>127.76</v>
      </c>
    </row>
    <row r="876" spans="1:12">
      <c r="A876">
        <v>10875</v>
      </c>
      <c r="B876" t="s">
        <v>910</v>
      </c>
      <c r="C876">
        <v>1875</v>
      </c>
      <c r="D876" t="s">
        <v>13</v>
      </c>
      <c r="E876" t="s">
        <v>32</v>
      </c>
      <c r="F876">
        <v>7</v>
      </c>
      <c r="G876">
        <v>162.91</v>
      </c>
      <c r="H876">
        <v>0.27</v>
      </c>
      <c r="I876" t="s">
        <v>28</v>
      </c>
      <c r="J876">
        <v>7</v>
      </c>
      <c r="K876">
        <v>2</v>
      </c>
      <c r="L876">
        <v>832.47</v>
      </c>
    </row>
    <row r="877" spans="1:12">
      <c r="A877">
        <v>10876</v>
      </c>
      <c r="B877" t="s">
        <v>911</v>
      </c>
      <c r="C877">
        <v>1181</v>
      </c>
      <c r="D877" t="s">
        <v>13</v>
      </c>
      <c r="E877" t="s">
        <v>32</v>
      </c>
      <c r="F877">
        <v>7</v>
      </c>
      <c r="G877">
        <v>382.88</v>
      </c>
      <c r="H877">
        <v>0.26</v>
      </c>
      <c r="I877" t="s">
        <v>28</v>
      </c>
      <c r="J877">
        <v>8</v>
      </c>
      <c r="K877">
        <v>2.2999999999999998</v>
      </c>
      <c r="L877">
        <v>1983.32</v>
      </c>
    </row>
    <row r="878" spans="1:12">
      <c r="A878">
        <v>10877</v>
      </c>
      <c r="B878" t="s">
        <v>912</v>
      </c>
      <c r="C878">
        <v>1166</v>
      </c>
      <c r="D878" t="s">
        <v>27</v>
      </c>
      <c r="E878" t="s">
        <v>43</v>
      </c>
      <c r="F878">
        <v>5</v>
      </c>
      <c r="G878">
        <v>460.87</v>
      </c>
      <c r="H878">
        <v>0.34</v>
      </c>
      <c r="I878" t="s">
        <v>31</v>
      </c>
      <c r="J878">
        <v>7</v>
      </c>
      <c r="K878">
        <v>3.7</v>
      </c>
      <c r="L878">
        <v>1520.87</v>
      </c>
    </row>
    <row r="879" spans="1:12">
      <c r="A879">
        <v>10878</v>
      </c>
      <c r="B879" t="s">
        <v>913</v>
      </c>
      <c r="C879">
        <v>1090</v>
      </c>
      <c r="D879" t="s">
        <v>55</v>
      </c>
      <c r="E879" t="s">
        <v>14</v>
      </c>
      <c r="F879">
        <v>6</v>
      </c>
      <c r="G879">
        <v>527.74</v>
      </c>
      <c r="H879">
        <v>0.04</v>
      </c>
      <c r="I879" t="s">
        <v>28</v>
      </c>
      <c r="J879">
        <v>4</v>
      </c>
      <c r="K879">
        <v>1.3</v>
      </c>
      <c r="L879">
        <v>3039.78</v>
      </c>
    </row>
    <row r="880" spans="1:12">
      <c r="A880">
        <v>10879</v>
      </c>
      <c r="B880" t="s">
        <v>914</v>
      </c>
      <c r="C880">
        <v>1713</v>
      </c>
      <c r="D880" t="s">
        <v>55</v>
      </c>
      <c r="E880" t="s">
        <v>32</v>
      </c>
      <c r="F880">
        <v>2</v>
      </c>
      <c r="G880">
        <v>513.5</v>
      </c>
      <c r="H880">
        <v>0.2</v>
      </c>
      <c r="I880" t="s">
        <v>15</v>
      </c>
      <c r="J880">
        <v>4</v>
      </c>
      <c r="K880">
        <v>3.5</v>
      </c>
      <c r="L880">
        <v>821.6</v>
      </c>
    </row>
    <row r="881" spans="1:12">
      <c r="A881">
        <v>10880</v>
      </c>
      <c r="B881" t="s">
        <v>915</v>
      </c>
      <c r="C881">
        <v>1857</v>
      </c>
      <c r="D881" t="s">
        <v>27</v>
      </c>
      <c r="E881" t="s">
        <v>30</v>
      </c>
      <c r="F881">
        <v>2</v>
      </c>
      <c r="G881">
        <v>579.46</v>
      </c>
      <c r="H881">
        <v>0.24</v>
      </c>
      <c r="I881" t="s">
        <v>28</v>
      </c>
      <c r="J881">
        <v>5</v>
      </c>
      <c r="K881">
        <v>4.7</v>
      </c>
      <c r="L881">
        <v>880.78</v>
      </c>
    </row>
    <row r="882" spans="1:12">
      <c r="A882">
        <v>10881</v>
      </c>
      <c r="B882" t="s">
        <v>916</v>
      </c>
      <c r="C882">
        <v>1530</v>
      </c>
      <c r="D882" t="s">
        <v>34</v>
      </c>
      <c r="E882" t="s">
        <v>30</v>
      </c>
      <c r="F882">
        <v>6</v>
      </c>
      <c r="G882">
        <v>355.11</v>
      </c>
      <c r="H882">
        <v>0.31</v>
      </c>
      <c r="I882" t="s">
        <v>28</v>
      </c>
      <c r="J882">
        <v>9</v>
      </c>
      <c r="K882">
        <v>2</v>
      </c>
      <c r="L882">
        <v>1470.16</v>
      </c>
    </row>
    <row r="883" spans="1:12">
      <c r="A883">
        <v>10882</v>
      </c>
      <c r="B883" t="s">
        <v>917</v>
      </c>
      <c r="C883">
        <v>1038</v>
      </c>
      <c r="D883" t="s">
        <v>27</v>
      </c>
      <c r="E883" t="s">
        <v>14</v>
      </c>
      <c r="F883">
        <v>3</v>
      </c>
      <c r="G883">
        <v>546.55999999999995</v>
      </c>
      <c r="H883">
        <v>0.31</v>
      </c>
      <c r="I883" t="s">
        <v>31</v>
      </c>
      <c r="J883">
        <v>5</v>
      </c>
      <c r="K883">
        <v>2.4</v>
      </c>
      <c r="L883">
        <v>1131.3800000000001</v>
      </c>
    </row>
    <row r="884" spans="1:12">
      <c r="A884">
        <v>10883</v>
      </c>
      <c r="B884" t="s">
        <v>918</v>
      </c>
      <c r="C884">
        <v>1125</v>
      </c>
      <c r="D884" t="s">
        <v>55</v>
      </c>
      <c r="E884" t="s">
        <v>43</v>
      </c>
      <c r="F884">
        <v>6</v>
      </c>
      <c r="G884">
        <v>487.98</v>
      </c>
      <c r="H884">
        <v>0.34</v>
      </c>
      <c r="I884" t="s">
        <v>31</v>
      </c>
      <c r="J884">
        <v>2</v>
      </c>
      <c r="K884">
        <v>1.9</v>
      </c>
      <c r="L884">
        <v>1932.4</v>
      </c>
    </row>
    <row r="885" spans="1:12">
      <c r="A885">
        <v>10884</v>
      </c>
      <c r="B885" t="s">
        <v>919</v>
      </c>
      <c r="C885">
        <v>1450</v>
      </c>
      <c r="D885" t="s">
        <v>55</v>
      </c>
      <c r="E885" t="s">
        <v>14</v>
      </c>
      <c r="F885">
        <v>2</v>
      </c>
      <c r="G885">
        <v>538.38</v>
      </c>
      <c r="H885">
        <v>0.18</v>
      </c>
      <c r="I885" t="s">
        <v>28</v>
      </c>
      <c r="J885">
        <v>5</v>
      </c>
      <c r="K885">
        <v>4.3</v>
      </c>
      <c r="L885">
        <v>882.94</v>
      </c>
    </row>
    <row r="886" spans="1:12">
      <c r="A886">
        <v>10885</v>
      </c>
      <c r="B886" t="s">
        <v>920</v>
      </c>
      <c r="C886">
        <v>1172</v>
      </c>
      <c r="D886" t="s">
        <v>27</v>
      </c>
      <c r="E886" t="s">
        <v>32</v>
      </c>
      <c r="F886">
        <v>4</v>
      </c>
      <c r="G886">
        <v>21.8</v>
      </c>
      <c r="H886">
        <v>0.28999999999999998</v>
      </c>
      <c r="I886" t="s">
        <v>28</v>
      </c>
      <c r="J886">
        <v>3</v>
      </c>
      <c r="K886">
        <v>1.7</v>
      </c>
      <c r="L886">
        <v>61.91</v>
      </c>
    </row>
    <row r="887" spans="1:12">
      <c r="A887">
        <v>10886</v>
      </c>
      <c r="B887" t="s">
        <v>921</v>
      </c>
      <c r="C887">
        <v>1652</v>
      </c>
      <c r="D887" t="s">
        <v>13</v>
      </c>
      <c r="E887" t="s">
        <v>43</v>
      </c>
      <c r="F887">
        <v>5</v>
      </c>
      <c r="G887">
        <v>580.04999999999995</v>
      </c>
      <c r="H887">
        <v>0.15</v>
      </c>
      <c r="I887" t="s">
        <v>28</v>
      </c>
      <c r="J887">
        <v>10</v>
      </c>
      <c r="K887">
        <v>2.4</v>
      </c>
      <c r="L887">
        <v>2465.21</v>
      </c>
    </row>
    <row r="888" spans="1:12">
      <c r="A888">
        <v>10887</v>
      </c>
      <c r="B888" t="s">
        <v>922</v>
      </c>
      <c r="C888">
        <v>1753</v>
      </c>
      <c r="D888" t="s">
        <v>34</v>
      </c>
      <c r="E888" t="s">
        <v>43</v>
      </c>
      <c r="F888">
        <v>6</v>
      </c>
      <c r="G888">
        <v>292.02</v>
      </c>
      <c r="H888">
        <v>0.15</v>
      </c>
      <c r="I888" t="s">
        <v>31</v>
      </c>
      <c r="J888">
        <v>8</v>
      </c>
      <c r="K888">
        <v>3.4</v>
      </c>
      <c r="L888">
        <v>1489.3</v>
      </c>
    </row>
    <row r="889" spans="1:12">
      <c r="A889">
        <v>10888</v>
      </c>
      <c r="B889" t="s">
        <v>923</v>
      </c>
      <c r="C889">
        <v>1219</v>
      </c>
      <c r="D889" t="s">
        <v>27</v>
      </c>
      <c r="E889" t="s">
        <v>32</v>
      </c>
      <c r="F889">
        <v>3</v>
      </c>
      <c r="G889">
        <v>481.94</v>
      </c>
      <c r="H889">
        <v>0.09</v>
      </c>
      <c r="I889" t="s">
        <v>28</v>
      </c>
      <c r="J889">
        <v>10</v>
      </c>
      <c r="K889">
        <v>2.6</v>
      </c>
      <c r="L889">
        <v>1315.7</v>
      </c>
    </row>
    <row r="890" spans="1:12">
      <c r="A890">
        <v>10889</v>
      </c>
      <c r="B890" t="s">
        <v>924</v>
      </c>
      <c r="C890">
        <v>1637</v>
      </c>
      <c r="D890" t="s">
        <v>55</v>
      </c>
      <c r="E890" t="s">
        <v>30</v>
      </c>
      <c r="F890">
        <v>4</v>
      </c>
      <c r="G890">
        <v>89.41</v>
      </c>
      <c r="H890">
        <v>0.28999999999999998</v>
      </c>
      <c r="I890" t="s">
        <v>31</v>
      </c>
      <c r="J890">
        <v>10</v>
      </c>
      <c r="K890">
        <v>1.3</v>
      </c>
      <c r="L890">
        <v>253.92</v>
      </c>
    </row>
    <row r="891" spans="1:12">
      <c r="A891">
        <v>10890</v>
      </c>
      <c r="B891" t="s">
        <v>925</v>
      </c>
      <c r="C891">
        <v>1057</v>
      </c>
      <c r="D891" t="s">
        <v>55</v>
      </c>
      <c r="E891" t="s">
        <v>32</v>
      </c>
      <c r="F891">
        <v>6</v>
      </c>
      <c r="G891">
        <v>246.63</v>
      </c>
      <c r="H891">
        <v>0.35</v>
      </c>
      <c r="I891" t="s">
        <v>31</v>
      </c>
      <c r="J891">
        <v>2</v>
      </c>
      <c r="K891">
        <v>4.8</v>
      </c>
      <c r="L891">
        <v>961.86</v>
      </c>
    </row>
    <row r="892" spans="1:12">
      <c r="A892">
        <v>10891</v>
      </c>
      <c r="B892" t="s">
        <v>926</v>
      </c>
      <c r="C892">
        <v>1659</v>
      </c>
      <c r="D892" t="s">
        <v>27</v>
      </c>
      <c r="E892" t="s">
        <v>14</v>
      </c>
      <c r="F892">
        <v>4</v>
      </c>
      <c r="G892">
        <v>173.8</v>
      </c>
      <c r="H892">
        <v>0.09</v>
      </c>
      <c r="I892" t="s">
        <v>28</v>
      </c>
      <c r="J892">
        <v>11</v>
      </c>
      <c r="K892">
        <v>2.4</v>
      </c>
      <c r="L892">
        <v>632.63</v>
      </c>
    </row>
    <row r="893" spans="1:12">
      <c r="A893">
        <v>10892</v>
      </c>
      <c r="B893" t="s">
        <v>927</v>
      </c>
      <c r="C893">
        <v>1475</v>
      </c>
      <c r="D893" t="s">
        <v>34</v>
      </c>
      <c r="E893" t="s">
        <v>32</v>
      </c>
      <c r="F893">
        <v>6</v>
      </c>
      <c r="G893">
        <v>185.62</v>
      </c>
      <c r="H893">
        <v>0.02</v>
      </c>
      <c r="I893" t="s">
        <v>28</v>
      </c>
      <c r="J893">
        <v>4</v>
      </c>
      <c r="K893">
        <v>2.8</v>
      </c>
      <c r="L893">
        <v>1091.45</v>
      </c>
    </row>
    <row r="894" spans="1:12">
      <c r="A894">
        <v>10893</v>
      </c>
      <c r="B894" t="s">
        <v>928</v>
      </c>
      <c r="C894">
        <v>1455</v>
      </c>
      <c r="D894" t="s">
        <v>34</v>
      </c>
      <c r="E894" t="s">
        <v>30</v>
      </c>
      <c r="F894">
        <v>4</v>
      </c>
      <c r="G894">
        <v>87.1</v>
      </c>
      <c r="H894">
        <v>0.28999999999999998</v>
      </c>
      <c r="I894" t="s">
        <v>28</v>
      </c>
      <c r="J894">
        <v>5</v>
      </c>
      <c r="K894">
        <v>1.7</v>
      </c>
      <c r="L894">
        <v>247.36</v>
      </c>
    </row>
    <row r="895" spans="1:12">
      <c r="A895">
        <v>10894</v>
      </c>
      <c r="B895" t="s">
        <v>929</v>
      </c>
      <c r="C895">
        <v>1828</v>
      </c>
      <c r="D895" t="s">
        <v>27</v>
      </c>
      <c r="E895" t="s">
        <v>32</v>
      </c>
      <c r="F895">
        <v>7</v>
      </c>
      <c r="G895">
        <v>486.37</v>
      </c>
      <c r="H895">
        <v>0.22</v>
      </c>
      <c r="I895" t="s">
        <v>28</v>
      </c>
      <c r="J895">
        <v>4</v>
      </c>
      <c r="K895">
        <v>4.5</v>
      </c>
      <c r="L895">
        <v>2655.58</v>
      </c>
    </row>
    <row r="896" spans="1:12">
      <c r="A896">
        <v>10895</v>
      </c>
      <c r="B896" t="s">
        <v>930</v>
      </c>
      <c r="C896">
        <v>1894</v>
      </c>
      <c r="D896" t="s">
        <v>27</v>
      </c>
      <c r="E896" t="s">
        <v>14</v>
      </c>
      <c r="F896">
        <v>1</v>
      </c>
      <c r="G896">
        <v>20.41</v>
      </c>
      <c r="H896">
        <v>0.34</v>
      </c>
      <c r="I896" t="s">
        <v>31</v>
      </c>
      <c r="J896">
        <v>5</v>
      </c>
      <c r="K896">
        <v>2.2000000000000002</v>
      </c>
      <c r="L896">
        <v>13.47</v>
      </c>
    </row>
    <row r="897" spans="1:12">
      <c r="A897">
        <v>10896</v>
      </c>
      <c r="B897" t="s">
        <v>931</v>
      </c>
      <c r="C897">
        <v>1360</v>
      </c>
      <c r="D897" t="s">
        <v>34</v>
      </c>
      <c r="E897" t="s">
        <v>14</v>
      </c>
      <c r="F897">
        <v>4</v>
      </c>
      <c r="G897">
        <v>197.82</v>
      </c>
      <c r="H897">
        <v>0.09</v>
      </c>
      <c r="I897" t="s">
        <v>31</v>
      </c>
      <c r="J897">
        <v>10</v>
      </c>
      <c r="K897">
        <v>1.1000000000000001</v>
      </c>
      <c r="L897">
        <v>720.06</v>
      </c>
    </row>
    <row r="898" spans="1:12">
      <c r="A898">
        <v>10897</v>
      </c>
      <c r="B898" t="s">
        <v>932</v>
      </c>
      <c r="C898">
        <v>1934</v>
      </c>
      <c r="D898" t="s">
        <v>55</v>
      </c>
      <c r="E898" t="s">
        <v>30</v>
      </c>
      <c r="F898">
        <v>7</v>
      </c>
      <c r="G898">
        <v>117.03</v>
      </c>
      <c r="H898">
        <v>0.02</v>
      </c>
      <c r="I898" t="s">
        <v>31</v>
      </c>
      <c r="J898">
        <v>11</v>
      </c>
      <c r="K898">
        <v>2.2999999999999998</v>
      </c>
      <c r="L898">
        <v>802.83</v>
      </c>
    </row>
    <row r="899" spans="1:12">
      <c r="A899">
        <v>10898</v>
      </c>
      <c r="B899" t="s">
        <v>933</v>
      </c>
      <c r="C899">
        <v>1000</v>
      </c>
      <c r="D899" t="s">
        <v>27</v>
      </c>
      <c r="E899" t="s">
        <v>14</v>
      </c>
      <c r="F899">
        <v>1</v>
      </c>
      <c r="G899">
        <v>359.59</v>
      </c>
      <c r="H899">
        <v>0.17</v>
      </c>
      <c r="I899" t="s">
        <v>28</v>
      </c>
      <c r="J899">
        <v>4</v>
      </c>
      <c r="K899">
        <v>4.9000000000000004</v>
      </c>
      <c r="L899">
        <v>298.45999999999998</v>
      </c>
    </row>
    <row r="900" spans="1:12">
      <c r="A900">
        <v>10899</v>
      </c>
      <c r="B900" t="s">
        <v>934</v>
      </c>
      <c r="C900">
        <v>1386</v>
      </c>
      <c r="D900" t="s">
        <v>55</v>
      </c>
      <c r="E900" t="s">
        <v>14</v>
      </c>
      <c r="F900">
        <v>2</v>
      </c>
      <c r="G900">
        <v>163.74</v>
      </c>
      <c r="H900">
        <v>0.03</v>
      </c>
      <c r="I900" t="s">
        <v>15</v>
      </c>
      <c r="J900">
        <v>3</v>
      </c>
      <c r="K900">
        <v>1.6</v>
      </c>
      <c r="L900">
        <v>317.66000000000003</v>
      </c>
    </row>
    <row r="901" spans="1:12">
      <c r="A901">
        <v>10900</v>
      </c>
      <c r="B901" t="s">
        <v>935</v>
      </c>
      <c r="C901">
        <v>1972</v>
      </c>
      <c r="D901" t="s">
        <v>55</v>
      </c>
      <c r="E901" t="s">
        <v>32</v>
      </c>
      <c r="F901">
        <v>1</v>
      </c>
      <c r="G901">
        <v>166.51</v>
      </c>
      <c r="H901">
        <v>0.09</v>
      </c>
      <c r="I901" t="s">
        <v>28</v>
      </c>
      <c r="J901">
        <v>1</v>
      </c>
      <c r="K901">
        <v>1.1000000000000001</v>
      </c>
      <c r="L901">
        <v>151.52000000000001</v>
      </c>
    </row>
    <row r="902" spans="1:12">
      <c r="A902">
        <v>10901</v>
      </c>
      <c r="B902" t="s">
        <v>936</v>
      </c>
      <c r="C902">
        <v>1347</v>
      </c>
      <c r="D902" t="s">
        <v>34</v>
      </c>
      <c r="E902" t="s">
        <v>43</v>
      </c>
      <c r="F902">
        <v>4</v>
      </c>
      <c r="G902">
        <v>300.68</v>
      </c>
      <c r="H902">
        <v>0.04</v>
      </c>
      <c r="I902" t="s">
        <v>28</v>
      </c>
      <c r="J902">
        <v>4</v>
      </c>
      <c r="K902">
        <v>3.3</v>
      </c>
      <c r="L902">
        <v>1154.6099999999999</v>
      </c>
    </row>
    <row r="903" spans="1:12">
      <c r="A903">
        <v>10902</v>
      </c>
      <c r="B903" t="s">
        <v>937</v>
      </c>
      <c r="C903">
        <v>1189</v>
      </c>
      <c r="D903" t="s">
        <v>34</v>
      </c>
      <c r="E903" t="s">
        <v>14</v>
      </c>
      <c r="F903">
        <v>5</v>
      </c>
      <c r="G903">
        <v>396.82</v>
      </c>
      <c r="H903">
        <v>0.08</v>
      </c>
      <c r="I903" t="s">
        <v>31</v>
      </c>
      <c r="J903">
        <v>9</v>
      </c>
      <c r="K903">
        <v>2.5</v>
      </c>
      <c r="L903">
        <v>1825.37</v>
      </c>
    </row>
    <row r="904" spans="1:12">
      <c r="A904">
        <v>10903</v>
      </c>
      <c r="B904" t="s">
        <v>938</v>
      </c>
      <c r="C904">
        <v>1504</v>
      </c>
      <c r="D904" t="s">
        <v>55</v>
      </c>
      <c r="E904" t="s">
        <v>14</v>
      </c>
      <c r="F904">
        <v>5</v>
      </c>
      <c r="G904">
        <v>85.96</v>
      </c>
      <c r="H904">
        <v>0.04</v>
      </c>
      <c r="I904" t="s">
        <v>15</v>
      </c>
      <c r="J904">
        <v>1</v>
      </c>
      <c r="K904">
        <v>4.2</v>
      </c>
      <c r="L904">
        <v>412.61</v>
      </c>
    </row>
    <row r="905" spans="1:12">
      <c r="A905">
        <v>10904</v>
      </c>
      <c r="B905" t="s">
        <v>939</v>
      </c>
      <c r="C905">
        <v>1190</v>
      </c>
      <c r="D905" t="s">
        <v>27</v>
      </c>
      <c r="E905" t="s">
        <v>30</v>
      </c>
      <c r="F905">
        <v>2</v>
      </c>
      <c r="G905">
        <v>117.67</v>
      </c>
      <c r="H905">
        <v>0.33</v>
      </c>
      <c r="I905" t="s">
        <v>28</v>
      </c>
      <c r="J905">
        <v>7</v>
      </c>
      <c r="K905">
        <v>3.9</v>
      </c>
      <c r="L905">
        <v>157.68</v>
      </c>
    </row>
    <row r="906" spans="1:12">
      <c r="A906">
        <v>10905</v>
      </c>
      <c r="B906" t="s">
        <v>940</v>
      </c>
      <c r="C906">
        <v>1507</v>
      </c>
      <c r="D906" t="s">
        <v>55</v>
      </c>
      <c r="E906" t="s">
        <v>30</v>
      </c>
      <c r="F906">
        <v>4</v>
      </c>
      <c r="G906">
        <v>159.6</v>
      </c>
      <c r="H906">
        <v>0.1</v>
      </c>
      <c r="I906" t="s">
        <v>31</v>
      </c>
      <c r="J906">
        <v>3</v>
      </c>
      <c r="K906">
        <v>1.7</v>
      </c>
      <c r="L906">
        <v>574.55999999999995</v>
      </c>
    </row>
    <row r="907" spans="1:12">
      <c r="A907">
        <v>10906</v>
      </c>
      <c r="B907" t="s">
        <v>941</v>
      </c>
      <c r="C907">
        <v>1368</v>
      </c>
      <c r="D907" t="s">
        <v>55</v>
      </c>
      <c r="E907" t="s">
        <v>32</v>
      </c>
      <c r="F907">
        <v>1</v>
      </c>
      <c r="G907">
        <v>584.64</v>
      </c>
      <c r="H907">
        <v>0.16</v>
      </c>
      <c r="I907" t="s">
        <v>15</v>
      </c>
      <c r="J907">
        <v>8</v>
      </c>
      <c r="K907">
        <v>3.3</v>
      </c>
      <c r="L907">
        <v>491.1</v>
      </c>
    </row>
    <row r="908" spans="1:12">
      <c r="A908">
        <v>10907</v>
      </c>
      <c r="B908" t="s">
        <v>942</v>
      </c>
      <c r="C908">
        <v>1408</v>
      </c>
      <c r="D908" t="s">
        <v>55</v>
      </c>
      <c r="E908" t="s">
        <v>32</v>
      </c>
      <c r="F908">
        <v>5</v>
      </c>
      <c r="G908">
        <v>247.33</v>
      </c>
      <c r="H908">
        <v>0.31</v>
      </c>
      <c r="I908" t="s">
        <v>31</v>
      </c>
      <c r="J908">
        <v>6</v>
      </c>
      <c r="K908">
        <v>1.1000000000000001</v>
      </c>
      <c r="L908">
        <v>853.29</v>
      </c>
    </row>
    <row r="909" spans="1:12">
      <c r="A909">
        <v>10908</v>
      </c>
      <c r="B909" t="s">
        <v>943</v>
      </c>
      <c r="C909">
        <v>1823</v>
      </c>
      <c r="D909" t="s">
        <v>13</v>
      </c>
      <c r="E909" t="s">
        <v>14</v>
      </c>
      <c r="F909">
        <v>6</v>
      </c>
      <c r="G909">
        <v>365.41</v>
      </c>
      <c r="H909">
        <v>0.24</v>
      </c>
      <c r="I909" t="s">
        <v>28</v>
      </c>
      <c r="J909">
        <v>1</v>
      </c>
      <c r="K909">
        <v>2.8</v>
      </c>
      <c r="L909">
        <v>1666.27</v>
      </c>
    </row>
    <row r="910" spans="1:12">
      <c r="A910">
        <v>10909</v>
      </c>
      <c r="B910" t="s">
        <v>944</v>
      </c>
      <c r="C910">
        <v>1928</v>
      </c>
      <c r="D910" t="s">
        <v>27</v>
      </c>
      <c r="E910" t="s">
        <v>43</v>
      </c>
      <c r="F910">
        <v>3</v>
      </c>
      <c r="G910">
        <v>156.30000000000001</v>
      </c>
      <c r="H910">
        <v>0.22</v>
      </c>
      <c r="I910" t="s">
        <v>15</v>
      </c>
      <c r="J910">
        <v>10</v>
      </c>
      <c r="K910">
        <v>3.9</v>
      </c>
      <c r="L910">
        <v>365.74</v>
      </c>
    </row>
    <row r="911" spans="1:12">
      <c r="A911">
        <v>10910</v>
      </c>
      <c r="B911" t="s">
        <v>945</v>
      </c>
      <c r="C911">
        <v>1933</v>
      </c>
      <c r="D911" t="s">
        <v>27</v>
      </c>
      <c r="E911" t="s">
        <v>43</v>
      </c>
      <c r="F911">
        <v>4</v>
      </c>
      <c r="G911">
        <v>301.92</v>
      </c>
      <c r="H911">
        <v>0.25</v>
      </c>
      <c r="I911" t="s">
        <v>31</v>
      </c>
      <c r="J911">
        <v>5</v>
      </c>
      <c r="K911">
        <v>2.7</v>
      </c>
      <c r="L911">
        <v>905.76</v>
      </c>
    </row>
    <row r="912" spans="1:12">
      <c r="A912">
        <v>10911</v>
      </c>
      <c r="B912" t="s">
        <v>946</v>
      </c>
      <c r="C912">
        <v>1116</v>
      </c>
      <c r="D912" t="s">
        <v>27</v>
      </c>
      <c r="E912" t="s">
        <v>32</v>
      </c>
      <c r="F912">
        <v>7</v>
      </c>
      <c r="G912">
        <v>58.36</v>
      </c>
      <c r="H912">
        <v>0.28999999999999998</v>
      </c>
      <c r="I912" t="s">
        <v>31</v>
      </c>
      <c r="J912">
        <v>8</v>
      </c>
      <c r="K912">
        <v>1.5</v>
      </c>
      <c r="L912">
        <v>290.05</v>
      </c>
    </row>
    <row r="913" spans="1:12">
      <c r="A913">
        <v>10912</v>
      </c>
      <c r="B913" t="s">
        <v>947</v>
      </c>
      <c r="C913">
        <v>1133</v>
      </c>
      <c r="D913" t="s">
        <v>34</v>
      </c>
      <c r="E913" t="s">
        <v>30</v>
      </c>
      <c r="F913">
        <v>7</v>
      </c>
      <c r="G913">
        <v>35.32</v>
      </c>
      <c r="H913">
        <v>0.31</v>
      </c>
      <c r="I913" t="s">
        <v>31</v>
      </c>
      <c r="J913">
        <v>11</v>
      </c>
      <c r="K913">
        <v>1.2</v>
      </c>
      <c r="L913">
        <v>170.6</v>
      </c>
    </row>
    <row r="914" spans="1:12">
      <c r="A914">
        <v>10913</v>
      </c>
      <c r="B914" t="s">
        <v>948</v>
      </c>
      <c r="C914">
        <v>1057</v>
      </c>
      <c r="D914" t="s">
        <v>27</v>
      </c>
      <c r="E914" t="s">
        <v>14</v>
      </c>
      <c r="F914">
        <v>6</v>
      </c>
      <c r="G914">
        <v>289.20999999999998</v>
      </c>
      <c r="H914">
        <v>0.22</v>
      </c>
      <c r="I914" t="s">
        <v>15</v>
      </c>
      <c r="J914">
        <v>3</v>
      </c>
      <c r="K914">
        <v>4.4000000000000004</v>
      </c>
      <c r="L914">
        <v>1353.5</v>
      </c>
    </row>
    <row r="915" spans="1:12">
      <c r="A915">
        <v>10914</v>
      </c>
      <c r="B915" t="s">
        <v>949</v>
      </c>
      <c r="C915">
        <v>1555</v>
      </c>
      <c r="D915" t="s">
        <v>34</v>
      </c>
      <c r="E915" t="s">
        <v>14</v>
      </c>
      <c r="F915">
        <v>6</v>
      </c>
      <c r="G915">
        <v>248.22</v>
      </c>
      <c r="H915">
        <v>0.31</v>
      </c>
      <c r="I915" t="s">
        <v>28</v>
      </c>
      <c r="J915">
        <v>4</v>
      </c>
      <c r="K915">
        <v>4.5999999999999996</v>
      </c>
      <c r="L915">
        <v>1027.6300000000001</v>
      </c>
    </row>
    <row r="916" spans="1:12">
      <c r="A916">
        <v>10915</v>
      </c>
      <c r="B916" t="s">
        <v>950</v>
      </c>
      <c r="C916">
        <v>1684</v>
      </c>
      <c r="D916" t="s">
        <v>13</v>
      </c>
      <c r="E916" t="s">
        <v>43</v>
      </c>
      <c r="F916">
        <v>4</v>
      </c>
      <c r="G916">
        <v>95.07</v>
      </c>
      <c r="H916">
        <v>0.19</v>
      </c>
      <c r="I916" t="s">
        <v>28</v>
      </c>
      <c r="J916">
        <v>7</v>
      </c>
      <c r="K916">
        <v>2.4</v>
      </c>
      <c r="L916">
        <v>308.02999999999997</v>
      </c>
    </row>
    <row r="917" spans="1:12">
      <c r="A917">
        <v>10916</v>
      </c>
      <c r="B917" t="s">
        <v>951</v>
      </c>
      <c r="C917">
        <v>1671</v>
      </c>
      <c r="D917" t="s">
        <v>27</v>
      </c>
      <c r="E917" t="s">
        <v>32</v>
      </c>
      <c r="F917">
        <v>3</v>
      </c>
      <c r="G917">
        <v>417.25</v>
      </c>
      <c r="H917">
        <v>0.1</v>
      </c>
      <c r="I917" t="s">
        <v>31</v>
      </c>
      <c r="J917">
        <v>11</v>
      </c>
      <c r="K917">
        <v>1.7</v>
      </c>
      <c r="L917">
        <v>1126.58</v>
      </c>
    </row>
    <row r="918" spans="1:12">
      <c r="A918">
        <v>10917</v>
      </c>
      <c r="B918" t="s">
        <v>952</v>
      </c>
      <c r="C918">
        <v>1172</v>
      </c>
      <c r="D918" t="s">
        <v>27</v>
      </c>
      <c r="E918" t="s">
        <v>43</v>
      </c>
      <c r="F918">
        <v>5</v>
      </c>
      <c r="G918">
        <v>595.85</v>
      </c>
      <c r="H918">
        <v>0.31</v>
      </c>
      <c r="I918" t="s">
        <v>28</v>
      </c>
      <c r="J918">
        <v>6</v>
      </c>
      <c r="K918">
        <v>4.9000000000000004</v>
      </c>
      <c r="L918">
        <v>2055.6799999999998</v>
      </c>
    </row>
    <row r="919" spans="1:12">
      <c r="A919">
        <v>10918</v>
      </c>
      <c r="B919" t="s">
        <v>953</v>
      </c>
      <c r="C919">
        <v>1828</v>
      </c>
      <c r="D919" t="s">
        <v>27</v>
      </c>
      <c r="E919" t="s">
        <v>43</v>
      </c>
      <c r="F919">
        <v>3</v>
      </c>
      <c r="G919">
        <v>246.45</v>
      </c>
      <c r="H919">
        <v>0.19</v>
      </c>
      <c r="I919" t="s">
        <v>28</v>
      </c>
      <c r="J919">
        <v>7</v>
      </c>
      <c r="K919">
        <v>3.2</v>
      </c>
      <c r="L919">
        <v>598.87</v>
      </c>
    </row>
    <row r="920" spans="1:12">
      <c r="A920">
        <v>10919</v>
      </c>
      <c r="B920" t="s">
        <v>954</v>
      </c>
      <c r="C920">
        <v>1814</v>
      </c>
      <c r="D920" t="s">
        <v>34</v>
      </c>
      <c r="E920" t="s">
        <v>32</v>
      </c>
      <c r="F920">
        <v>2</v>
      </c>
      <c r="G920">
        <v>380.37</v>
      </c>
      <c r="H920">
        <v>0.32</v>
      </c>
      <c r="I920" t="s">
        <v>31</v>
      </c>
      <c r="J920">
        <v>9</v>
      </c>
      <c r="K920">
        <v>2.9</v>
      </c>
      <c r="L920">
        <v>517.29999999999995</v>
      </c>
    </row>
    <row r="921" spans="1:12">
      <c r="A921">
        <v>10920</v>
      </c>
      <c r="B921" t="s">
        <v>955</v>
      </c>
      <c r="C921">
        <v>1148</v>
      </c>
      <c r="D921" t="s">
        <v>34</v>
      </c>
      <c r="E921" t="s">
        <v>30</v>
      </c>
      <c r="F921">
        <v>1</v>
      </c>
      <c r="G921">
        <v>578.34</v>
      </c>
      <c r="H921">
        <v>0.01</v>
      </c>
      <c r="I921" t="s">
        <v>28</v>
      </c>
      <c r="J921">
        <v>9</v>
      </c>
      <c r="K921">
        <v>4</v>
      </c>
      <c r="L921">
        <v>572.55999999999995</v>
      </c>
    </row>
    <row r="922" spans="1:12">
      <c r="A922">
        <v>10921</v>
      </c>
      <c r="B922" t="s">
        <v>956</v>
      </c>
      <c r="C922">
        <v>1079</v>
      </c>
      <c r="D922" t="s">
        <v>27</v>
      </c>
      <c r="E922" t="s">
        <v>14</v>
      </c>
      <c r="F922">
        <v>1</v>
      </c>
      <c r="G922">
        <v>501.45</v>
      </c>
      <c r="H922">
        <v>0.14000000000000001</v>
      </c>
      <c r="I922" t="s">
        <v>31</v>
      </c>
      <c r="J922">
        <v>2</v>
      </c>
      <c r="K922">
        <v>1.7</v>
      </c>
      <c r="L922">
        <v>431.25</v>
      </c>
    </row>
    <row r="923" spans="1:12">
      <c r="A923">
        <v>10922</v>
      </c>
      <c r="B923" t="s">
        <v>957</v>
      </c>
      <c r="C923">
        <v>1885</v>
      </c>
      <c r="D923" t="s">
        <v>34</v>
      </c>
      <c r="E923" t="s">
        <v>30</v>
      </c>
      <c r="F923">
        <v>6</v>
      </c>
      <c r="G923">
        <v>286.18</v>
      </c>
      <c r="H923">
        <v>0.33</v>
      </c>
      <c r="I923" t="s">
        <v>15</v>
      </c>
      <c r="J923">
        <v>3</v>
      </c>
      <c r="K923">
        <v>3.3</v>
      </c>
      <c r="L923">
        <v>1150.44</v>
      </c>
    </row>
    <row r="924" spans="1:12">
      <c r="A924">
        <v>10923</v>
      </c>
      <c r="B924" t="s">
        <v>958</v>
      </c>
      <c r="C924">
        <v>1212</v>
      </c>
      <c r="D924" t="s">
        <v>27</v>
      </c>
      <c r="E924" t="s">
        <v>32</v>
      </c>
      <c r="F924">
        <v>5</v>
      </c>
      <c r="G924">
        <v>446.43</v>
      </c>
      <c r="H924">
        <v>0.09</v>
      </c>
      <c r="I924" t="s">
        <v>28</v>
      </c>
      <c r="J924">
        <v>4</v>
      </c>
      <c r="K924">
        <v>4.5999999999999996</v>
      </c>
      <c r="L924">
        <v>2031.26</v>
      </c>
    </row>
    <row r="925" spans="1:12">
      <c r="A925">
        <v>10924</v>
      </c>
      <c r="B925" t="s">
        <v>959</v>
      </c>
      <c r="C925">
        <v>1202</v>
      </c>
      <c r="D925" t="s">
        <v>13</v>
      </c>
      <c r="E925" t="s">
        <v>32</v>
      </c>
      <c r="F925">
        <v>3</v>
      </c>
      <c r="G925">
        <v>89.96</v>
      </c>
      <c r="H925">
        <v>0.33</v>
      </c>
      <c r="I925" t="s">
        <v>15</v>
      </c>
      <c r="J925">
        <v>6</v>
      </c>
      <c r="K925">
        <v>1.1000000000000001</v>
      </c>
      <c r="L925">
        <v>180.82</v>
      </c>
    </row>
    <row r="926" spans="1:12">
      <c r="A926">
        <v>10925</v>
      </c>
      <c r="B926" t="s">
        <v>960</v>
      </c>
      <c r="C926">
        <v>1763</v>
      </c>
      <c r="D926" t="s">
        <v>13</v>
      </c>
      <c r="E926" t="s">
        <v>14</v>
      </c>
      <c r="F926">
        <v>6</v>
      </c>
      <c r="G926">
        <v>314.58</v>
      </c>
      <c r="H926">
        <v>0.33</v>
      </c>
      <c r="I926" t="s">
        <v>28</v>
      </c>
      <c r="J926">
        <v>5</v>
      </c>
      <c r="K926">
        <v>3.7</v>
      </c>
      <c r="L926">
        <v>1264.6099999999999</v>
      </c>
    </row>
    <row r="927" spans="1:12">
      <c r="A927">
        <v>10926</v>
      </c>
      <c r="B927" t="s">
        <v>961</v>
      </c>
      <c r="C927">
        <v>1228</v>
      </c>
      <c r="D927" t="s">
        <v>55</v>
      </c>
      <c r="E927" t="s">
        <v>30</v>
      </c>
      <c r="F927">
        <v>4</v>
      </c>
      <c r="G927">
        <v>178.25</v>
      </c>
      <c r="H927">
        <v>0.31</v>
      </c>
      <c r="I927" t="s">
        <v>15</v>
      </c>
      <c r="J927">
        <v>6</v>
      </c>
      <c r="K927">
        <v>3.2</v>
      </c>
      <c r="L927">
        <v>491.97</v>
      </c>
    </row>
    <row r="928" spans="1:12">
      <c r="A928">
        <v>10927</v>
      </c>
      <c r="B928" t="s">
        <v>962</v>
      </c>
      <c r="C928">
        <v>1675</v>
      </c>
      <c r="D928" t="s">
        <v>34</v>
      </c>
      <c r="E928" t="s">
        <v>14</v>
      </c>
      <c r="F928">
        <v>6</v>
      </c>
      <c r="G928">
        <v>109.28</v>
      </c>
      <c r="H928">
        <v>0.2</v>
      </c>
      <c r="I928" t="s">
        <v>15</v>
      </c>
      <c r="J928">
        <v>11</v>
      </c>
      <c r="K928">
        <v>4.8</v>
      </c>
      <c r="L928">
        <v>524.54</v>
      </c>
    </row>
    <row r="929" spans="1:12">
      <c r="A929">
        <v>10928</v>
      </c>
      <c r="B929" t="s">
        <v>963</v>
      </c>
      <c r="C929">
        <v>1226</v>
      </c>
      <c r="D929" t="s">
        <v>13</v>
      </c>
      <c r="E929" t="s">
        <v>43</v>
      </c>
      <c r="F929">
        <v>4</v>
      </c>
      <c r="G929">
        <v>264.37</v>
      </c>
      <c r="H929">
        <v>0.23</v>
      </c>
      <c r="I929" t="s">
        <v>28</v>
      </c>
      <c r="J929">
        <v>8</v>
      </c>
      <c r="K929">
        <v>2</v>
      </c>
      <c r="L929">
        <v>814.26</v>
      </c>
    </row>
    <row r="930" spans="1:12">
      <c r="A930">
        <v>10929</v>
      </c>
      <c r="B930" t="s">
        <v>964</v>
      </c>
      <c r="C930">
        <v>1658</v>
      </c>
      <c r="D930" t="s">
        <v>13</v>
      </c>
      <c r="E930" t="s">
        <v>43</v>
      </c>
      <c r="F930">
        <v>4</v>
      </c>
      <c r="G930">
        <v>91.64</v>
      </c>
      <c r="H930">
        <v>0.3</v>
      </c>
      <c r="I930" t="s">
        <v>28</v>
      </c>
      <c r="J930">
        <v>2</v>
      </c>
      <c r="K930">
        <v>4.4000000000000004</v>
      </c>
      <c r="L930">
        <v>256.58999999999997</v>
      </c>
    </row>
    <row r="931" spans="1:12">
      <c r="A931">
        <v>10930</v>
      </c>
      <c r="B931" t="s">
        <v>965</v>
      </c>
      <c r="C931">
        <v>1531</v>
      </c>
      <c r="D931" t="s">
        <v>34</v>
      </c>
      <c r="E931" t="s">
        <v>43</v>
      </c>
      <c r="F931">
        <v>2</v>
      </c>
      <c r="G931">
        <v>423.91</v>
      </c>
      <c r="H931">
        <v>0.27</v>
      </c>
      <c r="I931" t="s">
        <v>28</v>
      </c>
      <c r="J931">
        <v>6</v>
      </c>
      <c r="K931">
        <v>2.2000000000000002</v>
      </c>
      <c r="L931">
        <v>618.91</v>
      </c>
    </row>
    <row r="932" spans="1:12">
      <c r="A932">
        <v>10931</v>
      </c>
      <c r="B932" t="s">
        <v>966</v>
      </c>
      <c r="C932">
        <v>1440</v>
      </c>
      <c r="D932" t="s">
        <v>55</v>
      </c>
      <c r="E932" t="s">
        <v>30</v>
      </c>
      <c r="F932">
        <v>2</v>
      </c>
      <c r="G932">
        <v>281.89999999999998</v>
      </c>
      <c r="H932">
        <v>0.22</v>
      </c>
      <c r="I932" t="s">
        <v>15</v>
      </c>
      <c r="J932">
        <v>9</v>
      </c>
      <c r="K932">
        <v>2.7</v>
      </c>
      <c r="L932">
        <v>439.76</v>
      </c>
    </row>
    <row r="933" spans="1:12">
      <c r="A933">
        <v>10932</v>
      </c>
      <c r="B933" t="s">
        <v>967</v>
      </c>
      <c r="C933">
        <v>1401</v>
      </c>
      <c r="D933" t="s">
        <v>34</v>
      </c>
      <c r="E933" t="s">
        <v>43</v>
      </c>
      <c r="F933">
        <v>4</v>
      </c>
      <c r="G933">
        <v>325.72000000000003</v>
      </c>
      <c r="H933">
        <v>0.34</v>
      </c>
      <c r="I933" t="s">
        <v>15</v>
      </c>
      <c r="J933">
        <v>5</v>
      </c>
      <c r="K933">
        <v>1.9</v>
      </c>
      <c r="L933">
        <v>859.9</v>
      </c>
    </row>
    <row r="934" spans="1:12">
      <c r="A934">
        <v>10933</v>
      </c>
      <c r="B934" t="s">
        <v>968</v>
      </c>
      <c r="C934">
        <v>1046</v>
      </c>
      <c r="D934" t="s">
        <v>55</v>
      </c>
      <c r="E934" t="s">
        <v>14</v>
      </c>
      <c r="F934">
        <v>5</v>
      </c>
      <c r="G934">
        <v>100.63</v>
      </c>
      <c r="H934">
        <v>0.24</v>
      </c>
      <c r="I934" t="s">
        <v>28</v>
      </c>
      <c r="J934">
        <v>1</v>
      </c>
      <c r="K934">
        <v>4.5</v>
      </c>
      <c r="L934">
        <v>382.39</v>
      </c>
    </row>
    <row r="935" spans="1:12">
      <c r="A935">
        <v>10934</v>
      </c>
      <c r="B935" t="s">
        <v>969</v>
      </c>
      <c r="C935">
        <v>1232</v>
      </c>
      <c r="D935" t="s">
        <v>13</v>
      </c>
      <c r="E935" t="s">
        <v>30</v>
      </c>
      <c r="F935">
        <v>2</v>
      </c>
      <c r="G935">
        <v>96.77</v>
      </c>
      <c r="H935">
        <v>0.34</v>
      </c>
      <c r="I935" t="s">
        <v>31</v>
      </c>
      <c r="J935">
        <v>8</v>
      </c>
      <c r="K935">
        <v>1.8</v>
      </c>
      <c r="L935">
        <v>127.74</v>
      </c>
    </row>
    <row r="936" spans="1:12">
      <c r="A936">
        <v>10935</v>
      </c>
      <c r="B936" t="s">
        <v>970</v>
      </c>
      <c r="C936">
        <v>1304</v>
      </c>
      <c r="D936" t="s">
        <v>34</v>
      </c>
      <c r="E936" t="s">
        <v>14</v>
      </c>
      <c r="F936">
        <v>2</v>
      </c>
      <c r="G936">
        <v>356.3</v>
      </c>
      <c r="H936">
        <v>0.02</v>
      </c>
      <c r="I936" t="s">
        <v>28</v>
      </c>
      <c r="J936">
        <v>4</v>
      </c>
      <c r="K936">
        <v>4.4000000000000004</v>
      </c>
      <c r="L936">
        <v>698.35</v>
      </c>
    </row>
    <row r="937" spans="1:12">
      <c r="A937">
        <v>10936</v>
      </c>
      <c r="B937" t="s">
        <v>971</v>
      </c>
      <c r="C937">
        <v>1525</v>
      </c>
      <c r="D937" t="s">
        <v>13</v>
      </c>
      <c r="E937" t="s">
        <v>32</v>
      </c>
      <c r="F937">
        <v>1</v>
      </c>
      <c r="G937">
        <v>591.23</v>
      </c>
      <c r="H937">
        <v>0.05</v>
      </c>
      <c r="I937" t="s">
        <v>31</v>
      </c>
      <c r="J937">
        <v>8</v>
      </c>
      <c r="K937">
        <v>2.8</v>
      </c>
      <c r="L937">
        <v>561.66999999999996</v>
      </c>
    </row>
    <row r="938" spans="1:12">
      <c r="A938">
        <v>10937</v>
      </c>
      <c r="B938" t="s">
        <v>972</v>
      </c>
      <c r="C938">
        <v>1142</v>
      </c>
      <c r="D938" t="s">
        <v>27</v>
      </c>
      <c r="E938" t="s">
        <v>30</v>
      </c>
      <c r="F938">
        <v>6</v>
      </c>
      <c r="G938">
        <v>71.31</v>
      </c>
      <c r="H938">
        <v>0.16</v>
      </c>
      <c r="I938" t="s">
        <v>15</v>
      </c>
      <c r="J938">
        <v>4</v>
      </c>
      <c r="K938">
        <v>4.3</v>
      </c>
      <c r="L938">
        <v>359.4</v>
      </c>
    </row>
    <row r="939" spans="1:12">
      <c r="A939">
        <v>10938</v>
      </c>
      <c r="B939" t="s">
        <v>973</v>
      </c>
      <c r="C939">
        <v>1414</v>
      </c>
      <c r="D939" t="s">
        <v>13</v>
      </c>
      <c r="E939" t="s">
        <v>14</v>
      </c>
      <c r="F939">
        <v>1</v>
      </c>
      <c r="G939">
        <v>182.15</v>
      </c>
      <c r="H939">
        <v>0.13</v>
      </c>
      <c r="I939" t="s">
        <v>28</v>
      </c>
      <c r="J939">
        <v>11</v>
      </c>
      <c r="K939">
        <v>2.1</v>
      </c>
      <c r="L939">
        <v>158.47</v>
      </c>
    </row>
    <row r="940" spans="1:12">
      <c r="A940">
        <v>10939</v>
      </c>
      <c r="B940" t="s">
        <v>974</v>
      </c>
      <c r="C940">
        <v>1512</v>
      </c>
      <c r="D940" t="s">
        <v>27</v>
      </c>
      <c r="E940" t="s">
        <v>14</v>
      </c>
      <c r="F940">
        <v>5</v>
      </c>
      <c r="G940">
        <v>523.63</v>
      </c>
      <c r="H940">
        <v>0.27</v>
      </c>
      <c r="I940" t="s">
        <v>15</v>
      </c>
      <c r="J940">
        <v>8</v>
      </c>
      <c r="K940">
        <v>1.5</v>
      </c>
      <c r="L940">
        <v>1911.25</v>
      </c>
    </row>
    <row r="941" spans="1:12">
      <c r="A941">
        <v>10940</v>
      </c>
      <c r="B941" t="s">
        <v>975</v>
      </c>
      <c r="C941">
        <v>1372</v>
      </c>
      <c r="D941" t="s">
        <v>55</v>
      </c>
      <c r="E941" t="s">
        <v>30</v>
      </c>
      <c r="F941">
        <v>2</v>
      </c>
      <c r="G941">
        <v>57.28</v>
      </c>
      <c r="H941">
        <v>0.06</v>
      </c>
      <c r="I941" t="s">
        <v>15</v>
      </c>
      <c r="J941">
        <v>9</v>
      </c>
      <c r="K941">
        <v>3.2</v>
      </c>
      <c r="L941">
        <v>107.69</v>
      </c>
    </row>
    <row r="942" spans="1:12">
      <c r="A942">
        <v>10941</v>
      </c>
      <c r="B942" t="s">
        <v>976</v>
      </c>
      <c r="C942">
        <v>1565</v>
      </c>
      <c r="D942" t="s">
        <v>34</v>
      </c>
      <c r="E942" t="s">
        <v>32</v>
      </c>
      <c r="F942">
        <v>7</v>
      </c>
      <c r="G942">
        <v>527.39</v>
      </c>
      <c r="H942">
        <v>0.34</v>
      </c>
      <c r="I942" t="s">
        <v>15</v>
      </c>
      <c r="J942">
        <v>5</v>
      </c>
      <c r="K942">
        <v>3</v>
      </c>
      <c r="L942">
        <v>2436.54</v>
      </c>
    </row>
    <row r="943" spans="1:12">
      <c r="A943">
        <v>10942</v>
      </c>
      <c r="B943" t="s">
        <v>977</v>
      </c>
      <c r="C943">
        <v>1885</v>
      </c>
      <c r="D943" t="s">
        <v>34</v>
      </c>
      <c r="E943" t="s">
        <v>30</v>
      </c>
      <c r="F943">
        <v>2</v>
      </c>
      <c r="G943">
        <v>321.70999999999998</v>
      </c>
      <c r="H943">
        <v>0.11</v>
      </c>
      <c r="I943" t="s">
        <v>28</v>
      </c>
      <c r="J943">
        <v>5</v>
      </c>
      <c r="K943">
        <v>2.4</v>
      </c>
      <c r="L943">
        <v>572.64</v>
      </c>
    </row>
    <row r="944" spans="1:12">
      <c r="A944">
        <v>10943</v>
      </c>
      <c r="B944" t="s">
        <v>978</v>
      </c>
      <c r="C944">
        <v>1258</v>
      </c>
      <c r="D944" t="s">
        <v>34</v>
      </c>
      <c r="E944" t="s">
        <v>43</v>
      </c>
      <c r="F944">
        <v>3</v>
      </c>
      <c r="G944">
        <v>253.84</v>
      </c>
      <c r="H944">
        <v>0.15</v>
      </c>
      <c r="I944" t="s">
        <v>28</v>
      </c>
      <c r="J944">
        <v>2</v>
      </c>
      <c r="K944">
        <v>3.7</v>
      </c>
      <c r="L944">
        <v>647.29</v>
      </c>
    </row>
    <row r="945" spans="1:12">
      <c r="A945">
        <v>10944</v>
      </c>
      <c r="B945" t="s">
        <v>979</v>
      </c>
      <c r="C945">
        <v>1655</v>
      </c>
      <c r="D945" t="s">
        <v>13</v>
      </c>
      <c r="E945" t="s">
        <v>43</v>
      </c>
      <c r="F945">
        <v>5</v>
      </c>
      <c r="G945">
        <v>196.16</v>
      </c>
      <c r="H945">
        <v>0.1</v>
      </c>
      <c r="I945" t="s">
        <v>28</v>
      </c>
      <c r="J945">
        <v>9</v>
      </c>
      <c r="K945">
        <v>1.4</v>
      </c>
      <c r="L945">
        <v>882.72</v>
      </c>
    </row>
    <row r="946" spans="1:12">
      <c r="A946">
        <v>10945</v>
      </c>
      <c r="B946" t="s">
        <v>980</v>
      </c>
      <c r="C946">
        <v>1470</v>
      </c>
      <c r="D946" t="s">
        <v>55</v>
      </c>
      <c r="E946" t="s">
        <v>32</v>
      </c>
      <c r="F946">
        <v>7</v>
      </c>
      <c r="G946">
        <v>188.81</v>
      </c>
      <c r="H946">
        <v>0.2</v>
      </c>
      <c r="I946" t="s">
        <v>31</v>
      </c>
      <c r="J946">
        <v>11</v>
      </c>
      <c r="K946">
        <v>3.5</v>
      </c>
      <c r="L946">
        <v>1057.3399999999999</v>
      </c>
    </row>
    <row r="947" spans="1:12">
      <c r="A947">
        <v>10946</v>
      </c>
      <c r="B947" t="s">
        <v>981</v>
      </c>
      <c r="C947">
        <v>1952</v>
      </c>
      <c r="D947" t="s">
        <v>13</v>
      </c>
      <c r="E947" t="s">
        <v>14</v>
      </c>
      <c r="F947">
        <v>6</v>
      </c>
      <c r="G947">
        <v>193.89</v>
      </c>
      <c r="H947">
        <v>0.02</v>
      </c>
      <c r="I947" t="s">
        <v>31</v>
      </c>
      <c r="J947">
        <v>4</v>
      </c>
      <c r="K947">
        <v>1.8</v>
      </c>
      <c r="L947">
        <v>1140.07</v>
      </c>
    </row>
    <row r="948" spans="1:12">
      <c r="A948">
        <v>10947</v>
      </c>
      <c r="B948" t="s">
        <v>982</v>
      </c>
      <c r="C948">
        <v>1970</v>
      </c>
      <c r="D948" t="s">
        <v>13</v>
      </c>
      <c r="E948" t="s">
        <v>14</v>
      </c>
      <c r="F948">
        <v>6</v>
      </c>
      <c r="G948">
        <v>532.61</v>
      </c>
      <c r="H948">
        <v>0.05</v>
      </c>
      <c r="I948" t="s">
        <v>28</v>
      </c>
      <c r="J948">
        <v>3</v>
      </c>
      <c r="K948">
        <v>1.5</v>
      </c>
      <c r="L948">
        <v>3035.88</v>
      </c>
    </row>
    <row r="949" spans="1:12">
      <c r="A949">
        <v>10948</v>
      </c>
      <c r="B949" t="s">
        <v>983</v>
      </c>
      <c r="C949">
        <v>1011</v>
      </c>
      <c r="D949" t="s">
        <v>34</v>
      </c>
      <c r="E949" t="s">
        <v>14</v>
      </c>
      <c r="F949">
        <v>7</v>
      </c>
      <c r="G949">
        <v>438.42</v>
      </c>
      <c r="H949">
        <v>0.26</v>
      </c>
      <c r="I949" t="s">
        <v>31</v>
      </c>
      <c r="J949">
        <v>2</v>
      </c>
      <c r="K949">
        <v>4.5999999999999996</v>
      </c>
      <c r="L949">
        <v>2271.02</v>
      </c>
    </row>
    <row r="950" spans="1:12">
      <c r="A950">
        <v>10949</v>
      </c>
      <c r="B950" t="s">
        <v>984</v>
      </c>
      <c r="C950">
        <v>1329</v>
      </c>
      <c r="D950" t="s">
        <v>27</v>
      </c>
      <c r="E950" t="s">
        <v>30</v>
      </c>
      <c r="F950">
        <v>6</v>
      </c>
      <c r="G950">
        <v>406.79</v>
      </c>
      <c r="H950">
        <v>7.0000000000000007E-2</v>
      </c>
      <c r="I950" t="s">
        <v>28</v>
      </c>
      <c r="J950">
        <v>3</v>
      </c>
      <c r="K950">
        <v>2.8</v>
      </c>
      <c r="L950">
        <v>2269.89</v>
      </c>
    </row>
    <row r="951" spans="1:12">
      <c r="A951">
        <v>10950</v>
      </c>
      <c r="B951" t="s">
        <v>985</v>
      </c>
      <c r="C951">
        <v>1735</v>
      </c>
      <c r="D951" t="s">
        <v>34</v>
      </c>
      <c r="E951" t="s">
        <v>30</v>
      </c>
      <c r="F951">
        <v>7</v>
      </c>
      <c r="G951">
        <v>482.27</v>
      </c>
      <c r="H951">
        <v>0.08</v>
      </c>
      <c r="I951" t="s">
        <v>28</v>
      </c>
      <c r="J951">
        <v>4</v>
      </c>
      <c r="K951">
        <v>4.0999999999999996</v>
      </c>
      <c r="L951">
        <v>3105.82</v>
      </c>
    </row>
    <row r="952" spans="1:12">
      <c r="A952">
        <v>10951</v>
      </c>
      <c r="B952" t="s">
        <v>986</v>
      </c>
      <c r="C952">
        <v>1783</v>
      </c>
      <c r="D952" t="s">
        <v>34</v>
      </c>
      <c r="E952" t="s">
        <v>32</v>
      </c>
      <c r="F952">
        <v>5</v>
      </c>
      <c r="G952">
        <v>165.41</v>
      </c>
      <c r="H952">
        <v>0.28000000000000003</v>
      </c>
      <c r="I952" t="s">
        <v>28</v>
      </c>
      <c r="J952">
        <v>9</v>
      </c>
      <c r="K952">
        <v>1.4</v>
      </c>
      <c r="L952">
        <v>595.48</v>
      </c>
    </row>
    <row r="953" spans="1:12">
      <c r="A953">
        <v>10952</v>
      </c>
      <c r="B953" t="s">
        <v>987</v>
      </c>
      <c r="C953">
        <v>1967</v>
      </c>
      <c r="D953" t="s">
        <v>34</v>
      </c>
      <c r="E953" t="s">
        <v>43</v>
      </c>
      <c r="F953">
        <v>7</v>
      </c>
      <c r="G953">
        <v>376.56</v>
      </c>
      <c r="H953">
        <v>0.03</v>
      </c>
      <c r="I953" t="s">
        <v>28</v>
      </c>
      <c r="J953">
        <v>6</v>
      </c>
      <c r="K953">
        <v>1.2</v>
      </c>
      <c r="L953">
        <v>2556.84</v>
      </c>
    </row>
    <row r="954" spans="1:12">
      <c r="A954">
        <v>10953</v>
      </c>
      <c r="B954" t="s">
        <v>988</v>
      </c>
      <c r="C954">
        <v>1357</v>
      </c>
      <c r="D954" t="s">
        <v>27</v>
      </c>
      <c r="E954" t="s">
        <v>14</v>
      </c>
      <c r="F954">
        <v>7</v>
      </c>
      <c r="G954">
        <v>284.14</v>
      </c>
      <c r="H954">
        <v>0.15</v>
      </c>
      <c r="I954" t="s">
        <v>28</v>
      </c>
      <c r="J954">
        <v>10</v>
      </c>
      <c r="K954">
        <v>3</v>
      </c>
      <c r="L954">
        <v>1690.63</v>
      </c>
    </row>
    <row r="955" spans="1:12">
      <c r="A955">
        <v>10954</v>
      </c>
      <c r="B955" t="s">
        <v>989</v>
      </c>
      <c r="C955">
        <v>1971</v>
      </c>
      <c r="D955" t="s">
        <v>34</v>
      </c>
      <c r="E955" t="s">
        <v>43</v>
      </c>
      <c r="F955">
        <v>3</v>
      </c>
      <c r="G955">
        <v>472.73</v>
      </c>
      <c r="H955">
        <v>0.01</v>
      </c>
      <c r="I955" t="s">
        <v>28</v>
      </c>
      <c r="J955">
        <v>5</v>
      </c>
      <c r="K955">
        <v>2.2999999999999998</v>
      </c>
      <c r="L955">
        <v>1404.01</v>
      </c>
    </row>
    <row r="956" spans="1:12">
      <c r="A956">
        <v>10955</v>
      </c>
      <c r="B956" t="s">
        <v>990</v>
      </c>
      <c r="C956">
        <v>1407</v>
      </c>
      <c r="D956" t="s">
        <v>34</v>
      </c>
      <c r="E956" t="s">
        <v>30</v>
      </c>
      <c r="F956">
        <v>3</v>
      </c>
      <c r="G956">
        <v>195.91</v>
      </c>
      <c r="H956">
        <v>0.12</v>
      </c>
      <c r="I956" t="s">
        <v>15</v>
      </c>
      <c r="J956">
        <v>9</v>
      </c>
      <c r="K956">
        <v>1</v>
      </c>
      <c r="L956">
        <v>517.20000000000005</v>
      </c>
    </row>
    <row r="957" spans="1:12">
      <c r="A957">
        <v>10956</v>
      </c>
      <c r="B957" t="s">
        <v>991</v>
      </c>
      <c r="C957">
        <v>1667</v>
      </c>
      <c r="D957" t="s">
        <v>34</v>
      </c>
      <c r="E957" t="s">
        <v>30</v>
      </c>
      <c r="F957">
        <v>1</v>
      </c>
      <c r="G957">
        <v>391.26</v>
      </c>
      <c r="H957">
        <v>0.24</v>
      </c>
      <c r="I957" t="s">
        <v>31</v>
      </c>
      <c r="J957">
        <v>8</v>
      </c>
      <c r="K957">
        <v>1.7</v>
      </c>
      <c r="L957">
        <v>297.36</v>
      </c>
    </row>
    <row r="958" spans="1:12">
      <c r="A958">
        <v>10957</v>
      </c>
      <c r="B958" t="s">
        <v>992</v>
      </c>
      <c r="C958">
        <v>1372</v>
      </c>
      <c r="D958" t="s">
        <v>34</v>
      </c>
      <c r="E958" t="s">
        <v>30</v>
      </c>
      <c r="F958">
        <v>5</v>
      </c>
      <c r="G958">
        <v>531.09</v>
      </c>
      <c r="H958">
        <v>0.03</v>
      </c>
      <c r="I958" t="s">
        <v>28</v>
      </c>
      <c r="J958">
        <v>6</v>
      </c>
      <c r="K958">
        <v>1.9</v>
      </c>
      <c r="L958">
        <v>2575.79</v>
      </c>
    </row>
    <row r="959" spans="1:12">
      <c r="A959">
        <v>10958</v>
      </c>
      <c r="B959" t="s">
        <v>993</v>
      </c>
      <c r="C959">
        <v>1007</v>
      </c>
      <c r="D959" t="s">
        <v>13</v>
      </c>
      <c r="E959" t="s">
        <v>43</v>
      </c>
      <c r="F959">
        <v>5</v>
      </c>
      <c r="G959">
        <v>250.26</v>
      </c>
      <c r="H959">
        <v>0.31</v>
      </c>
      <c r="I959" t="s">
        <v>31</v>
      </c>
      <c r="J959">
        <v>3</v>
      </c>
      <c r="K959">
        <v>2.2000000000000002</v>
      </c>
      <c r="L959">
        <v>863.4</v>
      </c>
    </row>
    <row r="960" spans="1:12">
      <c r="A960">
        <v>10959</v>
      </c>
      <c r="B960" t="s">
        <v>994</v>
      </c>
      <c r="C960">
        <v>1121</v>
      </c>
      <c r="D960" t="s">
        <v>55</v>
      </c>
      <c r="E960" t="s">
        <v>32</v>
      </c>
      <c r="F960">
        <v>3</v>
      </c>
      <c r="G960">
        <v>53.97</v>
      </c>
      <c r="H960">
        <v>0.32</v>
      </c>
      <c r="I960" t="s">
        <v>31</v>
      </c>
      <c r="J960">
        <v>7</v>
      </c>
      <c r="K960">
        <v>4.5</v>
      </c>
      <c r="L960">
        <v>110.1</v>
      </c>
    </row>
    <row r="961" spans="1:12">
      <c r="A961">
        <v>10960</v>
      </c>
      <c r="B961" t="s">
        <v>995</v>
      </c>
      <c r="C961">
        <v>1347</v>
      </c>
      <c r="D961" t="s">
        <v>13</v>
      </c>
      <c r="E961" t="s">
        <v>32</v>
      </c>
      <c r="F961">
        <v>4</v>
      </c>
      <c r="G961">
        <v>316.89</v>
      </c>
      <c r="H961">
        <v>0.04</v>
      </c>
      <c r="I961" t="s">
        <v>28</v>
      </c>
      <c r="J961">
        <v>10</v>
      </c>
      <c r="K961">
        <v>2.7</v>
      </c>
      <c r="L961">
        <v>1216.8599999999999</v>
      </c>
    </row>
    <row r="962" spans="1:12">
      <c r="A962">
        <v>10961</v>
      </c>
      <c r="B962" t="s">
        <v>996</v>
      </c>
      <c r="C962">
        <v>1675</v>
      </c>
      <c r="D962" t="s">
        <v>27</v>
      </c>
      <c r="E962" t="s">
        <v>30</v>
      </c>
      <c r="F962">
        <v>4</v>
      </c>
      <c r="G962">
        <v>217.39</v>
      </c>
      <c r="H962">
        <v>0.35</v>
      </c>
      <c r="I962" t="s">
        <v>31</v>
      </c>
      <c r="J962">
        <v>6</v>
      </c>
      <c r="K962">
        <v>3.7</v>
      </c>
      <c r="L962">
        <v>565.21</v>
      </c>
    </row>
    <row r="963" spans="1:12">
      <c r="A963">
        <v>10962</v>
      </c>
      <c r="B963" t="s">
        <v>997</v>
      </c>
      <c r="C963">
        <v>1089</v>
      </c>
      <c r="D963" t="s">
        <v>34</v>
      </c>
      <c r="E963" t="s">
        <v>14</v>
      </c>
      <c r="F963">
        <v>1</v>
      </c>
      <c r="G963">
        <v>408.25</v>
      </c>
      <c r="H963">
        <v>0.1</v>
      </c>
      <c r="I963" t="s">
        <v>31</v>
      </c>
      <c r="J963">
        <v>11</v>
      </c>
      <c r="K963">
        <v>1.1000000000000001</v>
      </c>
      <c r="L963">
        <v>367.42</v>
      </c>
    </row>
    <row r="964" spans="1:12">
      <c r="A964">
        <v>10963</v>
      </c>
      <c r="B964" t="s">
        <v>998</v>
      </c>
      <c r="C964">
        <v>1647</v>
      </c>
      <c r="D964" t="s">
        <v>55</v>
      </c>
      <c r="E964" t="s">
        <v>43</v>
      </c>
      <c r="F964">
        <v>4</v>
      </c>
      <c r="G964">
        <v>571.35</v>
      </c>
      <c r="H964">
        <v>0.03</v>
      </c>
      <c r="I964" t="s">
        <v>31</v>
      </c>
      <c r="J964">
        <v>8</v>
      </c>
      <c r="K964">
        <v>4.3</v>
      </c>
      <c r="L964">
        <v>2216.84</v>
      </c>
    </row>
    <row r="965" spans="1:12">
      <c r="A965">
        <v>10964</v>
      </c>
      <c r="B965" t="s">
        <v>999</v>
      </c>
      <c r="C965">
        <v>1697</v>
      </c>
      <c r="D965" t="s">
        <v>34</v>
      </c>
      <c r="E965" t="s">
        <v>30</v>
      </c>
      <c r="F965">
        <v>4</v>
      </c>
      <c r="G965">
        <v>299.08</v>
      </c>
      <c r="H965">
        <v>0</v>
      </c>
      <c r="I965" t="s">
        <v>31</v>
      </c>
      <c r="J965">
        <v>6</v>
      </c>
      <c r="K965">
        <v>2</v>
      </c>
      <c r="L965">
        <v>1196.32</v>
      </c>
    </row>
    <row r="966" spans="1:12">
      <c r="A966">
        <v>10965</v>
      </c>
      <c r="B966" t="s">
        <v>1000</v>
      </c>
      <c r="C966">
        <v>1315</v>
      </c>
      <c r="D966" t="s">
        <v>34</v>
      </c>
      <c r="E966" t="s">
        <v>43</v>
      </c>
      <c r="F966">
        <v>4</v>
      </c>
      <c r="G966">
        <v>287.72000000000003</v>
      </c>
      <c r="H966">
        <v>0.14000000000000001</v>
      </c>
      <c r="I966" t="s">
        <v>31</v>
      </c>
      <c r="J966">
        <v>11</v>
      </c>
      <c r="K966">
        <v>2.2000000000000002</v>
      </c>
      <c r="L966">
        <v>989.76</v>
      </c>
    </row>
    <row r="967" spans="1:12">
      <c r="A967">
        <v>10966</v>
      </c>
      <c r="B967" t="s">
        <v>1001</v>
      </c>
      <c r="C967">
        <v>1177</v>
      </c>
      <c r="D967" t="s">
        <v>34</v>
      </c>
      <c r="E967" t="s">
        <v>43</v>
      </c>
      <c r="F967">
        <v>2</v>
      </c>
      <c r="G967">
        <v>397.93</v>
      </c>
      <c r="H967">
        <v>0.22</v>
      </c>
      <c r="I967" t="s">
        <v>28</v>
      </c>
      <c r="J967">
        <v>10</v>
      </c>
      <c r="K967">
        <v>1.2</v>
      </c>
      <c r="L967">
        <v>620.77</v>
      </c>
    </row>
    <row r="968" spans="1:12">
      <c r="A968">
        <v>10967</v>
      </c>
      <c r="B968" t="s">
        <v>1002</v>
      </c>
      <c r="C968">
        <v>1539</v>
      </c>
      <c r="D968" t="s">
        <v>34</v>
      </c>
      <c r="E968" t="s">
        <v>32</v>
      </c>
      <c r="F968">
        <v>1</v>
      </c>
      <c r="G968">
        <v>75.55</v>
      </c>
      <c r="H968">
        <v>0.12</v>
      </c>
      <c r="I968" t="s">
        <v>15</v>
      </c>
      <c r="J968">
        <v>4</v>
      </c>
      <c r="K968">
        <v>2.6</v>
      </c>
      <c r="L968">
        <v>66.48</v>
      </c>
    </row>
    <row r="969" spans="1:12">
      <c r="A969">
        <v>10968</v>
      </c>
      <c r="B969" t="s">
        <v>1003</v>
      </c>
      <c r="C969">
        <v>1731</v>
      </c>
      <c r="D969" t="s">
        <v>34</v>
      </c>
      <c r="E969" t="s">
        <v>30</v>
      </c>
      <c r="F969">
        <v>3</v>
      </c>
      <c r="G969">
        <v>163.30000000000001</v>
      </c>
      <c r="H969">
        <v>0.28999999999999998</v>
      </c>
      <c r="I969" t="s">
        <v>28</v>
      </c>
      <c r="J969">
        <v>10</v>
      </c>
      <c r="K969">
        <v>4.4000000000000004</v>
      </c>
      <c r="L969">
        <v>347.83</v>
      </c>
    </row>
    <row r="970" spans="1:12">
      <c r="A970">
        <v>10969</v>
      </c>
      <c r="B970" t="s">
        <v>1004</v>
      </c>
      <c r="C970">
        <v>1868</v>
      </c>
      <c r="D970" t="s">
        <v>27</v>
      </c>
      <c r="E970" t="s">
        <v>32</v>
      </c>
      <c r="F970">
        <v>4</v>
      </c>
      <c r="G970">
        <v>552.6</v>
      </c>
      <c r="H970">
        <v>0.25</v>
      </c>
      <c r="I970" t="s">
        <v>15</v>
      </c>
      <c r="J970">
        <v>7</v>
      </c>
      <c r="K970">
        <v>2.5</v>
      </c>
      <c r="L970">
        <v>1657.8</v>
      </c>
    </row>
    <row r="971" spans="1:12">
      <c r="A971">
        <v>10970</v>
      </c>
      <c r="B971" t="s">
        <v>1005</v>
      </c>
      <c r="C971">
        <v>1040</v>
      </c>
      <c r="D971" t="s">
        <v>55</v>
      </c>
      <c r="E971" t="s">
        <v>30</v>
      </c>
      <c r="F971">
        <v>6</v>
      </c>
      <c r="G971">
        <v>406.92</v>
      </c>
      <c r="H971">
        <v>0.12</v>
      </c>
      <c r="I971" t="s">
        <v>28</v>
      </c>
      <c r="J971">
        <v>7</v>
      </c>
      <c r="K971">
        <v>4.5999999999999996</v>
      </c>
      <c r="L971">
        <v>2148.54</v>
      </c>
    </row>
    <row r="972" spans="1:12">
      <c r="A972">
        <v>10971</v>
      </c>
      <c r="B972" t="s">
        <v>1006</v>
      </c>
      <c r="C972">
        <v>1739</v>
      </c>
      <c r="D972" t="s">
        <v>34</v>
      </c>
      <c r="E972" t="s">
        <v>43</v>
      </c>
      <c r="F972">
        <v>7</v>
      </c>
      <c r="G972">
        <v>22.86</v>
      </c>
      <c r="H972">
        <v>0.26</v>
      </c>
      <c r="I972" t="s">
        <v>28</v>
      </c>
      <c r="J972">
        <v>11</v>
      </c>
      <c r="K972">
        <v>4.5</v>
      </c>
      <c r="L972">
        <v>118.41</v>
      </c>
    </row>
    <row r="973" spans="1:12">
      <c r="A973">
        <v>10972</v>
      </c>
      <c r="B973" t="s">
        <v>1007</v>
      </c>
      <c r="C973">
        <v>1703</v>
      </c>
      <c r="D973" t="s">
        <v>34</v>
      </c>
      <c r="E973" t="s">
        <v>32</v>
      </c>
      <c r="F973">
        <v>2</v>
      </c>
      <c r="G973">
        <v>134.71</v>
      </c>
      <c r="H973">
        <v>0.33</v>
      </c>
      <c r="I973" t="s">
        <v>31</v>
      </c>
      <c r="J973">
        <v>8</v>
      </c>
      <c r="K973">
        <v>1.2</v>
      </c>
      <c r="L973">
        <v>180.51</v>
      </c>
    </row>
    <row r="974" spans="1:12">
      <c r="A974">
        <v>10973</v>
      </c>
      <c r="B974" t="s">
        <v>1008</v>
      </c>
      <c r="C974">
        <v>1922</v>
      </c>
      <c r="D974" t="s">
        <v>55</v>
      </c>
      <c r="E974" t="s">
        <v>43</v>
      </c>
      <c r="F974">
        <v>4</v>
      </c>
      <c r="G974">
        <v>414.46</v>
      </c>
      <c r="H974">
        <v>0.03</v>
      </c>
      <c r="I974" t="s">
        <v>28</v>
      </c>
      <c r="J974">
        <v>2</v>
      </c>
      <c r="K974">
        <v>2.2000000000000002</v>
      </c>
      <c r="L974">
        <v>1608.1</v>
      </c>
    </row>
    <row r="975" spans="1:12">
      <c r="A975">
        <v>10974</v>
      </c>
      <c r="B975" t="s">
        <v>1009</v>
      </c>
      <c r="C975">
        <v>1501</v>
      </c>
      <c r="D975" t="s">
        <v>34</v>
      </c>
      <c r="E975" t="s">
        <v>30</v>
      </c>
      <c r="F975">
        <v>7</v>
      </c>
      <c r="G975">
        <v>462.17</v>
      </c>
      <c r="H975">
        <v>0.11</v>
      </c>
      <c r="I975" t="s">
        <v>15</v>
      </c>
      <c r="J975">
        <v>11</v>
      </c>
      <c r="K975">
        <v>4.5999999999999996</v>
      </c>
      <c r="L975">
        <v>2879.32</v>
      </c>
    </row>
    <row r="976" spans="1:12">
      <c r="A976">
        <v>10975</v>
      </c>
      <c r="B976" t="s">
        <v>1010</v>
      </c>
      <c r="C976">
        <v>1958</v>
      </c>
      <c r="D976" t="s">
        <v>34</v>
      </c>
      <c r="E976" t="s">
        <v>14</v>
      </c>
      <c r="F976">
        <v>7</v>
      </c>
      <c r="G976">
        <v>506.32</v>
      </c>
      <c r="H976">
        <v>0.16</v>
      </c>
      <c r="I976" t="s">
        <v>28</v>
      </c>
      <c r="J976">
        <v>6</v>
      </c>
      <c r="K976">
        <v>1.1000000000000001</v>
      </c>
      <c r="L976">
        <v>2977.16</v>
      </c>
    </row>
    <row r="977" spans="1:12">
      <c r="A977">
        <v>10976</v>
      </c>
      <c r="B977" t="s">
        <v>1011</v>
      </c>
      <c r="C977">
        <v>1144</v>
      </c>
      <c r="D977" t="s">
        <v>13</v>
      </c>
      <c r="E977" t="s">
        <v>32</v>
      </c>
      <c r="F977">
        <v>2</v>
      </c>
      <c r="G977">
        <v>185.92</v>
      </c>
      <c r="H977">
        <v>0.17</v>
      </c>
      <c r="I977" t="s">
        <v>31</v>
      </c>
      <c r="J977">
        <v>3</v>
      </c>
      <c r="K977">
        <v>4.0999999999999996</v>
      </c>
      <c r="L977">
        <v>308.63</v>
      </c>
    </row>
    <row r="978" spans="1:12">
      <c r="A978">
        <v>10977</v>
      </c>
      <c r="B978" t="s">
        <v>1012</v>
      </c>
      <c r="C978">
        <v>1200</v>
      </c>
      <c r="D978" t="s">
        <v>34</v>
      </c>
      <c r="E978" t="s">
        <v>32</v>
      </c>
      <c r="F978">
        <v>1</v>
      </c>
      <c r="G978">
        <v>559.65</v>
      </c>
      <c r="H978">
        <v>0.19</v>
      </c>
      <c r="I978" t="s">
        <v>28</v>
      </c>
      <c r="J978">
        <v>8</v>
      </c>
      <c r="K978">
        <v>4.5999999999999996</v>
      </c>
      <c r="L978">
        <v>453.32</v>
      </c>
    </row>
    <row r="979" spans="1:12">
      <c r="A979">
        <v>10978</v>
      </c>
      <c r="B979" t="s">
        <v>1013</v>
      </c>
      <c r="C979">
        <v>1928</v>
      </c>
      <c r="D979" t="s">
        <v>34</v>
      </c>
      <c r="E979" t="s">
        <v>43</v>
      </c>
      <c r="F979">
        <v>6</v>
      </c>
      <c r="G979">
        <v>338.47</v>
      </c>
      <c r="H979">
        <v>0.11</v>
      </c>
      <c r="I979" t="s">
        <v>28</v>
      </c>
      <c r="J979">
        <v>4</v>
      </c>
      <c r="K979">
        <v>4.0999999999999996</v>
      </c>
      <c r="L979">
        <v>1807.43</v>
      </c>
    </row>
    <row r="980" spans="1:12">
      <c r="A980">
        <v>10979</v>
      </c>
      <c r="B980" t="s">
        <v>1014</v>
      </c>
      <c r="C980">
        <v>1723</v>
      </c>
      <c r="D980" t="s">
        <v>27</v>
      </c>
      <c r="E980" t="s">
        <v>43</v>
      </c>
      <c r="F980">
        <v>6</v>
      </c>
      <c r="G980">
        <v>422.48</v>
      </c>
      <c r="H980">
        <v>0.23</v>
      </c>
      <c r="I980" t="s">
        <v>28</v>
      </c>
      <c r="J980">
        <v>4</v>
      </c>
      <c r="K980">
        <v>4</v>
      </c>
      <c r="L980">
        <v>1951.86</v>
      </c>
    </row>
    <row r="981" spans="1:12">
      <c r="A981">
        <v>10980</v>
      </c>
      <c r="B981" t="s">
        <v>1015</v>
      </c>
      <c r="C981">
        <v>1460</v>
      </c>
      <c r="D981" t="s">
        <v>34</v>
      </c>
      <c r="E981" t="s">
        <v>14</v>
      </c>
      <c r="F981">
        <v>6</v>
      </c>
      <c r="G981">
        <v>364.09</v>
      </c>
      <c r="H981">
        <v>0.23</v>
      </c>
      <c r="I981" t="s">
        <v>31</v>
      </c>
      <c r="J981">
        <v>2</v>
      </c>
      <c r="K981">
        <v>4.4000000000000004</v>
      </c>
      <c r="L981">
        <v>1682.1</v>
      </c>
    </row>
    <row r="982" spans="1:12">
      <c r="A982">
        <v>10981</v>
      </c>
      <c r="B982" t="s">
        <v>1016</v>
      </c>
      <c r="C982">
        <v>1731</v>
      </c>
      <c r="D982" t="s">
        <v>27</v>
      </c>
      <c r="E982" t="s">
        <v>32</v>
      </c>
      <c r="F982">
        <v>4</v>
      </c>
      <c r="G982">
        <v>86.8</v>
      </c>
      <c r="H982">
        <v>0.2</v>
      </c>
      <c r="I982" t="s">
        <v>31</v>
      </c>
      <c r="J982">
        <v>6</v>
      </c>
      <c r="K982">
        <v>3.7</v>
      </c>
      <c r="L982">
        <v>277.76</v>
      </c>
    </row>
    <row r="983" spans="1:12">
      <c r="A983">
        <v>10982</v>
      </c>
      <c r="B983" t="s">
        <v>1017</v>
      </c>
      <c r="C983">
        <v>1751</v>
      </c>
      <c r="D983" t="s">
        <v>55</v>
      </c>
      <c r="E983" t="s">
        <v>30</v>
      </c>
      <c r="F983">
        <v>2</v>
      </c>
      <c r="G983">
        <v>578.41999999999996</v>
      </c>
      <c r="H983">
        <v>0.04</v>
      </c>
      <c r="I983" t="s">
        <v>31</v>
      </c>
      <c r="J983">
        <v>6</v>
      </c>
      <c r="K983">
        <v>2.7</v>
      </c>
      <c r="L983">
        <v>1110.57</v>
      </c>
    </row>
    <row r="984" spans="1:12">
      <c r="A984">
        <v>10983</v>
      </c>
      <c r="B984" t="s">
        <v>1018</v>
      </c>
      <c r="C984">
        <v>1924</v>
      </c>
      <c r="D984" t="s">
        <v>34</v>
      </c>
      <c r="E984" t="s">
        <v>30</v>
      </c>
      <c r="F984">
        <v>6</v>
      </c>
      <c r="G984">
        <v>86.88</v>
      </c>
      <c r="H984">
        <v>0.17</v>
      </c>
      <c r="I984" t="s">
        <v>15</v>
      </c>
      <c r="J984">
        <v>1</v>
      </c>
      <c r="K984">
        <v>1.3</v>
      </c>
      <c r="L984">
        <v>432.66</v>
      </c>
    </row>
    <row r="985" spans="1:12">
      <c r="A985">
        <v>10984</v>
      </c>
      <c r="B985" t="s">
        <v>1019</v>
      </c>
      <c r="C985">
        <v>1908</v>
      </c>
      <c r="D985" t="s">
        <v>27</v>
      </c>
      <c r="E985" t="s">
        <v>32</v>
      </c>
      <c r="F985">
        <v>7</v>
      </c>
      <c r="G985">
        <v>164.11</v>
      </c>
      <c r="H985">
        <v>0.12</v>
      </c>
      <c r="I985" t="s">
        <v>31</v>
      </c>
      <c r="J985">
        <v>8</v>
      </c>
      <c r="K985">
        <v>4.2</v>
      </c>
      <c r="L985">
        <v>1010.92</v>
      </c>
    </row>
    <row r="986" spans="1:12">
      <c r="A986">
        <v>10985</v>
      </c>
      <c r="B986" t="s">
        <v>1020</v>
      </c>
      <c r="C986">
        <v>1557</v>
      </c>
      <c r="D986" t="s">
        <v>27</v>
      </c>
      <c r="E986" t="s">
        <v>32</v>
      </c>
      <c r="F986">
        <v>7</v>
      </c>
      <c r="G986">
        <v>490.97</v>
      </c>
      <c r="H986">
        <v>0.17</v>
      </c>
      <c r="I986" t="s">
        <v>15</v>
      </c>
      <c r="J986">
        <v>3</v>
      </c>
      <c r="K986">
        <v>4.5999999999999996</v>
      </c>
      <c r="L986">
        <v>2852.54</v>
      </c>
    </row>
    <row r="987" spans="1:12">
      <c r="A987">
        <v>10986</v>
      </c>
      <c r="B987" t="s">
        <v>1021</v>
      </c>
      <c r="C987">
        <v>1546</v>
      </c>
      <c r="D987" t="s">
        <v>34</v>
      </c>
      <c r="E987" t="s">
        <v>32</v>
      </c>
      <c r="F987">
        <v>5</v>
      </c>
      <c r="G987">
        <v>376.88</v>
      </c>
      <c r="H987">
        <v>0.32</v>
      </c>
      <c r="I987" t="s">
        <v>28</v>
      </c>
      <c r="J987">
        <v>1</v>
      </c>
      <c r="K987">
        <v>3</v>
      </c>
      <c r="L987">
        <v>1281.3900000000001</v>
      </c>
    </row>
    <row r="988" spans="1:12">
      <c r="A988">
        <v>10987</v>
      </c>
      <c r="B988" t="s">
        <v>1022</v>
      </c>
      <c r="C988">
        <v>1252</v>
      </c>
      <c r="D988" t="s">
        <v>27</v>
      </c>
      <c r="E988" t="s">
        <v>14</v>
      </c>
      <c r="F988">
        <v>5</v>
      </c>
      <c r="G988">
        <v>505.32</v>
      </c>
      <c r="H988">
        <v>0.17</v>
      </c>
      <c r="I988" t="s">
        <v>28</v>
      </c>
      <c r="J988">
        <v>10</v>
      </c>
      <c r="K988">
        <v>3.1</v>
      </c>
      <c r="L988">
        <v>2097.08</v>
      </c>
    </row>
    <row r="989" spans="1:12">
      <c r="A989">
        <v>10988</v>
      </c>
      <c r="B989" t="s">
        <v>1023</v>
      </c>
      <c r="C989">
        <v>1389</v>
      </c>
      <c r="D989" t="s">
        <v>34</v>
      </c>
      <c r="E989" t="s">
        <v>30</v>
      </c>
      <c r="F989">
        <v>2</v>
      </c>
      <c r="G989">
        <v>316.70999999999998</v>
      </c>
      <c r="H989">
        <v>0</v>
      </c>
      <c r="I989" t="s">
        <v>28</v>
      </c>
      <c r="J989">
        <v>1</v>
      </c>
      <c r="K989">
        <v>2.6</v>
      </c>
      <c r="L989">
        <v>633.41999999999996</v>
      </c>
    </row>
    <row r="990" spans="1:12">
      <c r="A990">
        <v>10989</v>
      </c>
      <c r="B990" t="s">
        <v>1024</v>
      </c>
      <c r="C990">
        <v>1593</v>
      </c>
      <c r="D990" t="s">
        <v>27</v>
      </c>
      <c r="E990" t="s">
        <v>30</v>
      </c>
      <c r="F990">
        <v>4</v>
      </c>
      <c r="G990">
        <v>235.54</v>
      </c>
      <c r="H990">
        <v>0.15</v>
      </c>
      <c r="I990" t="s">
        <v>28</v>
      </c>
      <c r="J990">
        <v>1</v>
      </c>
      <c r="K990">
        <v>4.4000000000000004</v>
      </c>
      <c r="L990">
        <v>800.84</v>
      </c>
    </row>
    <row r="991" spans="1:12">
      <c r="A991">
        <v>10990</v>
      </c>
      <c r="B991" t="s">
        <v>1025</v>
      </c>
      <c r="C991">
        <v>1882</v>
      </c>
      <c r="D991" t="s">
        <v>34</v>
      </c>
      <c r="E991" t="s">
        <v>43</v>
      </c>
      <c r="F991">
        <v>4</v>
      </c>
      <c r="G991">
        <v>554.28</v>
      </c>
      <c r="H991">
        <v>0.28999999999999998</v>
      </c>
      <c r="I991" t="s">
        <v>31</v>
      </c>
      <c r="J991">
        <v>5</v>
      </c>
      <c r="K991">
        <v>1.1000000000000001</v>
      </c>
      <c r="L991">
        <v>1574.16</v>
      </c>
    </row>
    <row r="992" spans="1:12">
      <c r="A992">
        <v>10991</v>
      </c>
      <c r="B992" t="s">
        <v>1026</v>
      </c>
      <c r="C992">
        <v>1255</v>
      </c>
      <c r="D992" t="s">
        <v>27</v>
      </c>
      <c r="E992" t="s">
        <v>43</v>
      </c>
      <c r="F992">
        <v>1</v>
      </c>
      <c r="G992">
        <v>36.21</v>
      </c>
      <c r="H992">
        <v>0.27</v>
      </c>
      <c r="I992" t="s">
        <v>31</v>
      </c>
      <c r="J992">
        <v>5</v>
      </c>
      <c r="K992">
        <v>3.5</v>
      </c>
      <c r="L992">
        <v>26.43</v>
      </c>
    </row>
    <row r="993" spans="1:12">
      <c r="A993">
        <v>10992</v>
      </c>
      <c r="B993" t="s">
        <v>1027</v>
      </c>
      <c r="C993">
        <v>1708</v>
      </c>
      <c r="D993" t="s">
        <v>34</v>
      </c>
      <c r="E993" t="s">
        <v>32</v>
      </c>
      <c r="F993">
        <v>1</v>
      </c>
      <c r="G993">
        <v>515.84</v>
      </c>
      <c r="H993">
        <v>0.18</v>
      </c>
      <c r="I993" t="s">
        <v>31</v>
      </c>
      <c r="J993">
        <v>1</v>
      </c>
      <c r="K993">
        <v>4.5999999999999996</v>
      </c>
      <c r="L993">
        <v>422.99</v>
      </c>
    </row>
    <row r="994" spans="1:12">
      <c r="A994">
        <v>10993</v>
      </c>
      <c r="B994" t="s">
        <v>1028</v>
      </c>
      <c r="C994">
        <v>1814</v>
      </c>
      <c r="D994" t="s">
        <v>55</v>
      </c>
      <c r="E994" t="s">
        <v>43</v>
      </c>
      <c r="F994">
        <v>6</v>
      </c>
      <c r="G994">
        <v>150.03</v>
      </c>
      <c r="H994">
        <v>0.09</v>
      </c>
      <c r="I994" t="s">
        <v>31</v>
      </c>
      <c r="J994">
        <v>5</v>
      </c>
      <c r="K994">
        <v>1.4</v>
      </c>
      <c r="L994">
        <v>819.16</v>
      </c>
    </row>
    <row r="995" spans="1:12">
      <c r="A995">
        <v>10994</v>
      </c>
      <c r="B995" t="s">
        <v>1029</v>
      </c>
      <c r="C995">
        <v>1920</v>
      </c>
      <c r="D995" t="s">
        <v>34</v>
      </c>
      <c r="E995" t="s">
        <v>14</v>
      </c>
      <c r="F995">
        <v>3</v>
      </c>
      <c r="G995">
        <v>511.51</v>
      </c>
      <c r="H995">
        <v>0.16</v>
      </c>
      <c r="I995" t="s">
        <v>15</v>
      </c>
      <c r="J995">
        <v>7</v>
      </c>
      <c r="K995">
        <v>4.8</v>
      </c>
      <c r="L995">
        <v>1289.01</v>
      </c>
    </row>
    <row r="996" spans="1:12">
      <c r="A996">
        <v>10995</v>
      </c>
      <c r="B996" t="s">
        <v>1030</v>
      </c>
      <c r="C996">
        <v>1449</v>
      </c>
      <c r="D996" t="s">
        <v>27</v>
      </c>
      <c r="E996" t="s">
        <v>30</v>
      </c>
      <c r="F996">
        <v>7</v>
      </c>
      <c r="G996">
        <v>96.43</v>
      </c>
      <c r="H996">
        <v>0.2</v>
      </c>
      <c r="I996" t="s">
        <v>15</v>
      </c>
      <c r="J996">
        <v>5</v>
      </c>
      <c r="K996">
        <v>4.9000000000000004</v>
      </c>
      <c r="L996">
        <v>540.01</v>
      </c>
    </row>
    <row r="997" spans="1:12">
      <c r="A997">
        <v>10996</v>
      </c>
      <c r="B997" t="s">
        <v>1031</v>
      </c>
      <c r="C997">
        <v>1009</v>
      </c>
      <c r="D997" t="s">
        <v>27</v>
      </c>
      <c r="E997" t="s">
        <v>30</v>
      </c>
      <c r="F997">
        <v>1</v>
      </c>
      <c r="G997">
        <v>354.43</v>
      </c>
      <c r="H997">
        <v>0.35</v>
      </c>
      <c r="I997" t="s">
        <v>28</v>
      </c>
      <c r="J997">
        <v>9</v>
      </c>
      <c r="K997">
        <v>4.7</v>
      </c>
      <c r="L997">
        <v>230.38</v>
      </c>
    </row>
    <row r="998" spans="1:12">
      <c r="A998">
        <v>10997</v>
      </c>
      <c r="B998" t="s">
        <v>1032</v>
      </c>
      <c r="C998">
        <v>1823</v>
      </c>
      <c r="D998" t="s">
        <v>55</v>
      </c>
      <c r="E998" t="s">
        <v>43</v>
      </c>
      <c r="F998">
        <v>4</v>
      </c>
      <c r="G998">
        <v>534.54</v>
      </c>
      <c r="H998">
        <v>0.23</v>
      </c>
      <c r="I998" t="s">
        <v>28</v>
      </c>
      <c r="J998">
        <v>4</v>
      </c>
      <c r="K998">
        <v>2.9</v>
      </c>
      <c r="L998">
        <v>1646.38</v>
      </c>
    </row>
    <row r="999" spans="1:12">
      <c r="A999">
        <v>10998</v>
      </c>
      <c r="B999" t="s">
        <v>1033</v>
      </c>
      <c r="C999">
        <v>1797</v>
      </c>
      <c r="D999" t="s">
        <v>27</v>
      </c>
      <c r="E999" t="s">
        <v>32</v>
      </c>
      <c r="F999">
        <v>7</v>
      </c>
      <c r="G999">
        <v>292.02</v>
      </c>
      <c r="H999">
        <v>0.24</v>
      </c>
      <c r="I999" t="s">
        <v>28</v>
      </c>
      <c r="J999">
        <v>9</v>
      </c>
      <c r="K999">
        <v>2.5</v>
      </c>
      <c r="L999">
        <v>1553.55</v>
      </c>
    </row>
    <row r="1000" spans="1:12">
      <c r="A1000">
        <v>10999</v>
      </c>
      <c r="B1000" t="s">
        <v>1034</v>
      </c>
      <c r="C1000">
        <v>1241</v>
      </c>
      <c r="D1000" t="s">
        <v>55</v>
      </c>
      <c r="E1000" t="s">
        <v>43</v>
      </c>
      <c r="F1000">
        <v>3</v>
      </c>
      <c r="G1000">
        <v>451.74</v>
      </c>
      <c r="H1000">
        <v>0.17</v>
      </c>
      <c r="I1000" t="s">
        <v>28</v>
      </c>
      <c r="J1000">
        <v>8</v>
      </c>
      <c r="K1000">
        <v>3.8</v>
      </c>
      <c r="L1000">
        <v>1124.83</v>
      </c>
    </row>
    <row r="1001" spans="1:12">
      <c r="A1001">
        <v>11000</v>
      </c>
      <c r="B1001" t="s">
        <v>1035</v>
      </c>
      <c r="C1001">
        <v>1250</v>
      </c>
      <c r="D1001" t="s">
        <v>55</v>
      </c>
      <c r="E1001" t="s">
        <v>32</v>
      </c>
      <c r="F1001">
        <v>1</v>
      </c>
      <c r="G1001">
        <v>485.73</v>
      </c>
      <c r="H1001">
        <v>0.12</v>
      </c>
      <c r="I1001" t="s">
        <v>31</v>
      </c>
      <c r="J1001">
        <v>1</v>
      </c>
      <c r="K1001">
        <v>2.2999999999999998</v>
      </c>
      <c r="L1001">
        <v>427.44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AC5B-7676-43B9-9AAD-0B74211A87FB}">
  <dimension ref="A1:B8"/>
  <sheetViews>
    <sheetView workbookViewId="0">
      <selection activeCell="C11" sqref="C11"/>
    </sheetView>
  </sheetViews>
  <sheetFormatPr defaultRowHeight="15"/>
  <cols>
    <col min="1" max="1" width="11.7109375" bestFit="1" customWidth="1"/>
    <col min="2" max="2" width="15.28515625" bestFit="1" customWidth="1"/>
  </cols>
  <sheetData>
    <row r="1" spans="1:2">
      <c r="A1" s="11" t="s">
        <v>1036</v>
      </c>
    </row>
    <row r="3" spans="1:2">
      <c r="A3" s="9" t="s">
        <v>4</v>
      </c>
      <c r="B3" t="s">
        <v>1037</v>
      </c>
    </row>
    <row r="4" spans="1:2">
      <c r="A4" t="s">
        <v>30</v>
      </c>
      <c r="B4" s="10">
        <v>259513.24000000022</v>
      </c>
    </row>
    <row r="5" spans="1:2">
      <c r="A5" t="s">
        <v>43</v>
      </c>
      <c r="B5" s="10">
        <v>274936.73999999993</v>
      </c>
    </row>
    <row r="6" spans="1:2">
      <c r="A6" t="s">
        <v>14</v>
      </c>
      <c r="B6" s="10">
        <v>228497.62000000011</v>
      </c>
    </row>
    <row r="7" spans="1:2">
      <c r="A7" t="s">
        <v>32</v>
      </c>
      <c r="B7" s="10">
        <v>248231.93999999992</v>
      </c>
    </row>
    <row r="8" spans="1:2">
      <c r="A8" t="s">
        <v>1038</v>
      </c>
      <c r="B8" s="10">
        <v>1011179.5400000003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1B47-BED9-4546-9014-652E1101B5EF}">
  <dimension ref="A1:B8"/>
  <sheetViews>
    <sheetView workbookViewId="0">
      <selection activeCell="B15" sqref="B15"/>
    </sheetView>
  </sheetViews>
  <sheetFormatPr defaultRowHeight="15"/>
  <cols>
    <col min="1" max="1" width="21.5703125" customWidth="1"/>
    <col min="2" max="2" width="15.28515625" bestFit="1" customWidth="1"/>
  </cols>
  <sheetData>
    <row r="1" spans="1:2" ht="27" customHeight="1">
      <c r="A1" s="12" t="s">
        <v>1039</v>
      </c>
      <c r="B1" s="13"/>
    </row>
    <row r="3" spans="1:2">
      <c r="A3" s="9" t="s">
        <v>3</v>
      </c>
      <c r="B3" t="s">
        <v>1037</v>
      </c>
    </row>
    <row r="4" spans="1:2">
      <c r="A4" t="s">
        <v>13</v>
      </c>
      <c r="B4" s="10">
        <v>152524.54000000004</v>
      </c>
    </row>
    <row r="5" spans="1:2">
      <c r="A5" t="s">
        <v>27</v>
      </c>
      <c r="B5" s="10">
        <v>274814.91999999993</v>
      </c>
    </row>
    <row r="6" spans="1:2">
      <c r="A6" t="s">
        <v>34</v>
      </c>
      <c r="B6" s="10">
        <v>356621.06999999966</v>
      </c>
    </row>
    <row r="7" spans="1:2">
      <c r="A7" t="s">
        <v>55</v>
      </c>
      <c r="B7" s="10">
        <v>227219.00999999998</v>
      </c>
    </row>
    <row r="8" spans="1:2">
      <c r="A8" t="s">
        <v>1038</v>
      </c>
      <c r="B8" s="10">
        <v>1011179.5399999996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4893-321B-43B7-A2F0-58325DD0BC70}">
  <dimension ref="A1:B7"/>
  <sheetViews>
    <sheetView workbookViewId="0">
      <selection activeCell="B18" sqref="B18"/>
    </sheetView>
  </sheetViews>
  <sheetFormatPr defaultRowHeight="15"/>
  <cols>
    <col min="1" max="1" width="20.5703125" bestFit="1" customWidth="1"/>
    <col min="2" max="2" width="15.28515625" bestFit="1" customWidth="1"/>
  </cols>
  <sheetData>
    <row r="1" spans="1:2">
      <c r="A1" s="4" t="s">
        <v>1040</v>
      </c>
    </row>
    <row r="3" spans="1:2">
      <c r="A3" s="9" t="s">
        <v>8</v>
      </c>
      <c r="B3" t="s">
        <v>1037</v>
      </c>
    </row>
    <row r="4" spans="1:2">
      <c r="A4" t="s">
        <v>28</v>
      </c>
      <c r="B4" s="10">
        <v>486683.25999999995</v>
      </c>
    </row>
    <row r="5" spans="1:2">
      <c r="A5" t="s">
        <v>31</v>
      </c>
      <c r="B5" s="10">
        <v>340440.05000000005</v>
      </c>
    </row>
    <row r="6" spans="1:2">
      <c r="A6" t="s">
        <v>15</v>
      </c>
      <c r="B6" s="10">
        <v>184056.23000000007</v>
      </c>
    </row>
    <row r="7" spans="1:2">
      <c r="A7" t="s">
        <v>1038</v>
      </c>
      <c r="B7" s="10">
        <v>1011179.5400000002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15" sqref="A15"/>
    </sheetView>
  </sheetViews>
  <sheetFormatPr defaultRowHeight="15"/>
  <cols>
    <col min="1" max="1" width="31.140625" customWidth="1"/>
  </cols>
  <sheetData>
    <row r="1" spans="1:2">
      <c r="A1" s="1" t="s">
        <v>1041</v>
      </c>
      <c r="B1" s="1" t="s">
        <v>1042</v>
      </c>
    </row>
    <row r="2" spans="1:2">
      <c r="A2" t="s">
        <v>1043</v>
      </c>
    </row>
    <row r="3" spans="1:2">
      <c r="A3" t="s">
        <v>1044</v>
      </c>
      <c r="B3" t="s">
        <v>1045</v>
      </c>
    </row>
    <row r="4" spans="1:2">
      <c r="A4" t="s">
        <v>1046</v>
      </c>
      <c r="B4" t="s">
        <v>1047</v>
      </c>
    </row>
    <row r="5" spans="1:2">
      <c r="A5" t="s">
        <v>1048</v>
      </c>
      <c r="B5" t="s">
        <v>1049</v>
      </c>
    </row>
    <row r="6" spans="1:2">
      <c r="A6" t="s">
        <v>1050</v>
      </c>
      <c r="B6" t="s">
        <v>1049</v>
      </c>
    </row>
    <row r="7" spans="1:2">
      <c r="A7" t="s">
        <v>1051</v>
      </c>
      <c r="B7" t="s">
        <v>1052</v>
      </c>
    </row>
    <row r="8" spans="1:2">
      <c r="A8" t="s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2026-10-07T18:27:51Z</dcterms:created>
  <dcterms:modified xsi:type="dcterms:W3CDTF">2026-10-09T06:43:55Z</dcterms:modified>
  <cp:category/>
  <cp:contentStatus/>
</cp:coreProperties>
</file>